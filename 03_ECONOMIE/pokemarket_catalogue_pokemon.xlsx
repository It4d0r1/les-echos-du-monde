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abe28931ca64f13" /></Relationships>
</file>

<file path=xl/workbook.xml><?xml version="1.0" encoding="utf-8"?>
<x:workbook xmlns:x="http://schemas.openxmlformats.org/spreadsheetml/2006/main">
  <x:sheets>
    <x:sheet xmlns:r="http://schemas.openxmlformats.org/officeDocument/2006/relationships" name="Catalogue Pokémon" sheetId="1" r:id="Rbc89c786da40490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0.0%"/>
    <x:numFmt numFmtId="202" formatCode="0"/>
    <x:numFmt numFmtId="203" formatCode="#,##0"/>
  </x:numFmts>
  <x:fonts count="6">
    <x:font>
      <x:sz val="11"/>
      <x:name val="Carlito"/>
    </x:font>
    <x:font>
      <x:b/>
      <x:sz val="16"/>
      <x:color rgb="FFFFFFFF"/>
      <x:name val="Aptos"/>
    </x:font>
    <x:font>
      <x:sz val="10"/>
      <x:color rgb="FF334155"/>
      <x:name val="Aptos"/>
    </x:font>
    <x:font>
      <x:i/>
      <x:sz val="9"/>
      <x:color rgb="FF475569"/>
      <x:name val="Aptos"/>
    </x:font>
    <x:font>
      <x:b/>
      <x:sz val="10"/>
      <x:color rgb="FFFFFFFF"/>
      <x:name val="Aptos"/>
    </x:font>
    <x:font>
      <x:sz val="10"/>
      <x:color rgb="FF1F2937"/>
      <x:name val="Aptos"/>
    </x:font>
  </x:fonts>
  <x:fills count="7">
    <x:fill>
      <x:patternFill patternType="none"/>
    </x:fill>
    <x:fill>
      <x:patternFill patternType="gray125"/>
    </x:fill>
    <x:fill>
      <x:patternFill patternType="solid">
        <x:fgColor rgb="FF17365D"/>
      </x:patternFill>
    </x:fill>
    <x:fill>
      <x:patternFill patternType="solid">
        <x:fgColor rgb="FFEAF1F8"/>
      </x:patternFill>
    </x:fill>
    <x:fill>
      <x:patternFill patternType="solid">
        <x:fgColor rgb="FFF8FAFC"/>
      </x:patternFill>
    </x:fill>
    <x:fill>
      <x:patternFill patternType="solid">
        <x:fgColor rgb="FF2563EB"/>
      </x:patternFill>
    </x:fill>
    <x:fill>
      <x:patternFill patternType="solid">
        <x:fgColor rgb="FFF1F5F9"/>
      </x:patternFill>
    </x:fill>
  </x:fills>
  <x:borders count="4">
    <x:border/>
    <x:border>
      <x:left style="thin">
        <x:color rgb="FFD1D5DB"/>
      </x:left>
      <x:right style="thin">
        <x:color rgb="FFD1D5DB"/>
      </x:right>
      <x:top style="thin">
        <x:color rgb="FFD1D5DB"/>
      </x:top>
      <x:bottom style="thin">
        <x:color rgb="FFD1D5DB"/>
      </x:bottom>
    </x:border>
    <x:border>
      <x:bottom style="thin">
        <x:color rgb="FFE5E7EB"/>
      </x:bottom>
    </x:border>
    <x:border>
      <x:top style="thin">
        <x:color rgb="FFE5E7EB"/>
      </x:top>
      <x:bottom style="thin">
        <x:color rgb="FFE5E7EB"/>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2"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0" fontId="5" fillId="6" borderId="2" xfId="0" applyNumberFormat="1" applyFont="1" applyFill="1" applyBorder="1" applyAlignment="1">
      <x:alignment vertical="center" wrapText="1"/>
    </x:xf>
    <x:xf numFmtId="0" fontId="5" fillId="6" borderId="3" xfId="0" applyNumberFormat="1" applyFont="1" applyFill="1" applyBorder="1" applyAlignment="1">
      <x:alignment vertical="center" wrapText="1"/>
    </x:xf>
    <x:xf numFmtId="200" fontId="5" fillId="0" borderId="2" xfId="0" applyNumberFormat="1" applyFont="1" applyFill="1" applyBorder="1" applyAlignment="1">
      <x:alignment vertical="center" wrapText="1"/>
    </x:xf>
    <x:xf numFmtId="200" fontId="5" fillId="0" borderId="3" xfId="0" applyNumberFormat="1" applyFont="1" applyFill="1" applyBorder="1" applyAlignment="1">
      <x:alignment vertical="center" wrapText="1"/>
    </x:xf>
    <x:xf numFmtId="201" fontId="5" fillId="0" borderId="2" xfId="0" applyNumberFormat="1" applyFont="1" applyFill="1" applyBorder="1" applyAlignment="1">
      <x:alignment vertical="center" wrapText="1"/>
    </x:xf>
    <x:xf numFmtId="201" fontId="5" fillId="0" borderId="3" xfId="0" applyNumberFormat="1" applyFont="1" applyFill="1" applyBorder="1" applyAlignment="1">
      <x:alignment vertical="center" wrapText="1"/>
    </x:xf>
    <x:xf numFmtId="202" fontId="5" fillId="0" borderId="2" xfId="0" applyNumberFormat="1" applyFont="1" applyFill="1" applyBorder="1" applyAlignment="1">
      <x:alignment vertical="center" wrapText="1"/>
    </x:xf>
    <x:xf numFmtId="202" fontId="5" fillId="6" borderId="2" xfId="0" applyNumberFormat="1" applyFont="1" applyFill="1" applyBorder="1" applyAlignment="1">
      <x:alignment vertical="center" wrapText="1"/>
    </x:xf>
    <x:xf numFmtId="202" fontId="5" fillId="0" borderId="3" xfId="0" applyNumberFormat="1" applyFont="1" applyFill="1" applyBorder="1" applyAlignment="1">
      <x:alignment vertical="center" wrapText="1"/>
    </x:xf>
    <x:xf numFmtId="202" fontId="5" fillId="6" borderId="3" xfId="0" applyNumberFormat="1" applyFont="1" applyFill="1" applyBorder="1" applyAlignment="1">
      <x:alignment vertical="center" wrapText="1"/>
    </x:xf>
    <x:xf numFmtId="203" fontId="5" fillId="0" borderId="2" xfId="0" applyNumberFormat="1" applyFont="1" applyFill="1" applyBorder="1" applyAlignment="1">
      <x:alignment vertical="center" wrapText="1"/>
    </x:xf>
    <x:xf numFmtId="203" fontId="5" fillId="0" borderId="3" xfId="0" applyNumberFormat="1" applyFont="1" applyFill="1" applyBorder="1" applyAlignment="1">
      <x:alignment vertical="center" wrapText="1"/>
    </x:xf>
    <x:xf numFmtId="203" fontId="5" fillId="0" borderId="2" xfId="0" applyNumberFormat="1" applyFont="1" applyFill="1" applyBorder="1" applyAlignment="1">
      <x:alignment horizontal="center" vertical="center" wrapText="1"/>
    </x:xf>
    <x:xf numFmtId="201" fontId="5" fillId="0" borderId="2" xfId="0" applyNumberFormat="1" applyFont="1" applyFill="1" applyBorder="1" applyAlignment="1">
      <x:alignment horizontal="center" vertical="center" wrapText="1"/>
    </x:xf>
    <x:xf numFmtId="202" fontId="5" fillId="0" borderId="2" xfId="0" applyNumberFormat="1" applyFont="1" applyFill="1" applyBorder="1" applyAlignment="1">
      <x:alignment horizontal="center" vertical="center" wrapText="1"/>
    </x:xf>
    <x:xf numFmtId="202" fontId="5" fillId="6" borderId="2" xfId="0" applyNumberFormat="1" applyFont="1" applyFill="1" applyBorder="1" applyAlignment="1">
      <x:alignment horizontal="center" vertical="center" wrapText="1"/>
    </x:xf>
    <x:xf numFmtId="203" fontId="5" fillId="0" borderId="3" xfId="0" applyNumberFormat="1" applyFont="1" applyFill="1" applyBorder="1" applyAlignment="1">
      <x:alignment horizontal="center" vertical="center" wrapText="1"/>
    </x:xf>
    <x:xf numFmtId="201" fontId="5" fillId="0" borderId="3" xfId="0" applyNumberFormat="1" applyFont="1" applyFill="1" applyBorder="1" applyAlignment="1">
      <x:alignment horizontal="center" vertical="center" wrapText="1"/>
    </x:xf>
    <x:xf numFmtId="202" fontId="5" fillId="0" borderId="3" xfId="0" applyNumberFormat="1" applyFont="1" applyFill="1" applyBorder="1" applyAlignment="1">
      <x:alignment horizontal="center" vertical="center" wrapText="1"/>
    </x:xf>
    <x:xf numFmtId="202" fontId="5" fillId="6" borderId="3" xfId="0" applyNumberFormat="1" applyFont="1" applyFill="1" applyBorder="1" applyAlignment="1">
      <x:alignment horizontal="center" vertical="center" wrapText="1"/>
    </x:xf>
    <x:xf numFmtId="203" fontId="5" fillId="0" borderId="2" xfId="0" applyNumberFormat="1" applyFont="1" applyFill="1" applyBorder="1" applyAlignment="1">
      <x:alignment horizontal="right" vertical="center" wrapText="1"/>
    </x:xf>
    <x:xf numFmtId="203" fontId="5" fillId="0" borderId="3"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24de27819d4741" /><Relationship Type="http://schemas.openxmlformats.org/officeDocument/2006/relationships/theme" Target="/xl/theme/theme1.xml" Id="R0a8ba12da28549dd" /><Relationship Type="http://schemas.openxmlformats.org/officeDocument/2006/relationships/sharedStrings" Target="/xl/sharedStrings.xml" Id="R236fa04611bd4073" /><Relationship Type="http://schemas.openxmlformats.org/officeDocument/2006/relationships/worksheet" Target="/xl/worksheets/sheet1.xml" Id="Rbc89c786da404906" /></Relationships>
</file>

<file path=xl/tables/table1.xml><?xml version="1.0" encoding="utf-8"?>
<x:table xmlns:x="http://schemas.openxmlformats.org/spreadsheetml/2006/main" id="1" name="PokemonCatalogue" displayName="PokemonCatalogue" ref="A4:T1011" headerRowCount="1" totalsRowCount="0" totalsRowShown="0">
  <x:autoFilter ref="A4:T1011"/>
  <x:tableColumns count="20">
    <x:tableColumn id="1" name="N° Pokédex"/>
    <x:tableColumn id="2" name="Nom français"/>
    <x:tableColumn id="3" name="Nom anglais"/>
    <x:tableColumn id="4" name="Type 1"/>
    <x:tableColumn id="5" name="Type 2"/>
    <x:tableColumn id="6" name="Rareté dominante"/>
    <x:tableColumn id="7" name="Prix normal (Pokédollars)"/>
    <x:tableColumn id="8" name="Prix shiny (Pokédollars)"/>
    <x:tableColumn id="9" name="Part des apparitions"/>
    <x:tableColumn id="10" name="PV"/>
    <x:tableColumn id="11" name="Attaque"/>
    <x:tableColumn id="12" name="Défense"/>
    <x:tableColumn id="13" name="Attaque Spéciale"/>
    <x:tableColumn id="14" name="Défense Spéciale"/>
    <x:tableColumn id="15" name="Vitesse"/>
    <x:tableColumn id="16" name="Total stats"/>
    <x:tableColumn id="17" name="Apparitions classées (wiki)"/>
    <x:tableColumn id="18" name="Description Pixelmon"/>
    <x:tableColumn id="19" name="Notes"/>
    <x:tableColumn id="20" name="Source wik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3936a1a8d0948a3" /></Relationships>
</file>

<file path=xl/worksheets/sheet1.xml><?xml version="1.0" encoding="utf-8"?>
<x:worksheet xmlns:x="http://schemas.openxmlformats.org/spreadsheetml/2006/main">
  <x:sheetPr>
    <x:tabColor rgb="FF2563EB"/>
  </x:sheetPr>
  <x:sheetViews>
    <x:sheetView showGridLines="0" workbookViewId="0">
      <x:pane ySplit="4" topLeftCell="A5" activePane="bottomLeft" state="frozen"/>
    </x:sheetView>
  </x:sheetViews>
  <x:sheetFormatPr defaultRowHeight="15"/>
  <x:cols>
    <x:col min="1" max="1" width="12" hidden="0" customWidth="1"/>
    <x:col min="2" max="2" width="20" hidden="0" customWidth="1"/>
    <x:col min="3" max="3" width="20" hidden="0" customWidth="1"/>
    <x:col min="4" max="4" width="14" hidden="0" customWidth="1"/>
    <x:col min="5" max="5" width="14" hidden="0" customWidth="1"/>
    <x:col min="6" max="6" width="30" hidden="0" customWidth="1"/>
    <x:col min="7" max="7" width="20" hidden="0" customWidth="1"/>
    <x:col min="8" max="8" width="21" hidden="0" customWidth="1"/>
    <x:col min="9" max="9" width="17" hidden="0" customWidth="1"/>
    <x:col min="10" max="10" width="9" hidden="0" customWidth="1"/>
    <x:col min="11" max="11" width="11" hidden="0" customWidth="1"/>
    <x:col min="12" max="12" width="11" hidden="0" customWidth="1"/>
    <x:col min="13" max="13" width="17" hidden="0" customWidth="1"/>
    <x:col min="14" max="14" width="18" hidden="0" customWidth="1"/>
    <x:col min="15" max="15" width="11" hidden="0" customWidth="1"/>
    <x:col min="16" max="16" width="13" hidden="0" customWidth="1"/>
    <x:col min="17" max="17" width="24" hidden="0" customWidth="1"/>
    <x:col min="18" max="18" width="58" hidden="0" customWidth="1"/>
    <x:col min="19" max="19" width="46" hidden="0" customWidth="1"/>
    <x:col min="20" max="20" width="42" hidden="0" customWidth="1"/>
  </x:cols>
  <x:sheetData>
    <x:row r="1" ht="34" customHeight="1">
      <x:c r="A1" s="3" t="str">
        <x:v>Catalogue Pokémon — Pokémarket</x:v>
      </x:c>
      <x:c r="B1" s="3"/>
      <x:c r="C1" s="3"/>
      <x:c r="D1" s="3"/>
      <x:c r="E1" s="3"/>
      <x:c r="F1" s="3"/>
      <x:c r="G1" s="3"/>
      <x:c r="H1" s="3"/>
      <x:c r="I1" s="3"/>
      <x:c r="J1" s="3"/>
      <x:c r="K1" s="3"/>
      <x:c r="L1" s="3"/>
      <x:c r="M1" s="3"/>
      <x:c r="N1" s="3"/>
      <x:c r="O1" s="3"/>
      <x:c r="P1" s="3"/>
      <x:c r="Q1" s="3"/>
      <x:c r="R1" s="3"/>
      <x:c r="S1" s="3"/>
      <x:c r="T1" s="3"/>
    </x:row>
    <x:row r="2" ht="40" customHeight="1">
      <x:c r="A2" s="7" t="str">
        <x:v>Rareté dominante = catégorie présente dans le plus grand nombre de lignes de spawn du wiki. Le pourcentage mesure sa part parmi ces lignes, pas une probabilité directe de rencontre. Prix provisoires selon les paliers définis; en cas d’égalité, le prix utilise le palier le plus élevé. Prix des fabuleux, Ultra-Chimères et Pokémon sans rareté exploitable laissés à définir. Prix shiny = prix normal × 3.</x:v>
      </x:c>
      <x:c r="B2" s="7"/>
      <x:c r="C2" s="7"/>
      <x:c r="D2" s="7"/>
      <x:c r="E2" s="7"/>
      <x:c r="F2" s="7"/>
      <x:c r="G2" s="7"/>
      <x:c r="H2" s="7"/>
      <x:c r="I2" s="7"/>
      <x:c r="J2" s="7"/>
      <x:c r="K2" s="7"/>
      <x:c r="L2" s="7"/>
      <x:c r="M2" s="7"/>
      <x:c r="N2" s="7"/>
      <x:c r="O2" s="7"/>
      <x:c r="P2" s="7"/>
      <x:c r="Q2" s="7"/>
      <x:c r="R2" s="7"/>
      <x:c r="S2" s="7"/>
      <x:c r="T2" s="7"/>
    </x:row>
    <x:row r="3" ht="26" customHeight="1">
      <x:c r="A3" s="11" t="str">
        <x:v>Données de noms, types, statistiques et descriptions : Pixelmon 9.4.1. Formes alternatives non séparées. Pokémon légendaires et MissingNo exclus. 50 lignes vierges supplémentaires sont prêtes sous le catalogue.</x:v>
      </x:c>
      <x:c r="B3" s="11"/>
      <x:c r="C3" s="11"/>
      <x:c r="D3" s="11"/>
      <x:c r="E3" s="11"/>
      <x:c r="F3" s="11"/>
      <x:c r="G3" s="11"/>
      <x:c r="H3" s="11"/>
      <x:c r="I3" s="11"/>
      <x:c r="J3" s="11"/>
      <x:c r="K3" s="11"/>
      <x:c r="L3" s="11"/>
      <x:c r="M3" s="11"/>
      <x:c r="N3" s="11"/>
      <x:c r="O3" s="11"/>
      <x:c r="P3" s="11"/>
      <x:c r="Q3" s="11"/>
      <x:c r="R3" s="11"/>
      <x:c r="S3" s="11"/>
      <x:c r="T3" s="11"/>
    </x:row>
    <x:row r="4" ht="40" customHeight="1">
      <x:c r="A4" s="16" t="str">
        <x:v>N° Pokédex</x:v>
      </x:c>
      <x:c r="B4" s="16" t="str">
        <x:v>Nom français</x:v>
      </x:c>
      <x:c r="C4" s="16" t="str">
        <x:v>Nom anglais</x:v>
      </x:c>
      <x:c r="D4" s="16" t="str">
        <x:v>Type 1</x:v>
      </x:c>
      <x:c r="E4" s="16" t="str">
        <x:v>Type 2</x:v>
      </x:c>
      <x:c r="F4" s="16" t="str">
        <x:v>Rareté dominante</x:v>
      </x:c>
      <x:c r="G4" s="16" t="str">
        <x:v>Prix normal (Pokédollars)</x:v>
      </x:c>
      <x:c r="H4" s="16" t="str">
        <x:v>Prix shiny (Pokédollars)</x:v>
      </x:c>
      <x:c r="I4" s="16" t="str">
        <x:v>Part des apparitions</x:v>
      </x:c>
      <x:c r="J4" s="16" t="str">
        <x:v>PV</x:v>
      </x:c>
      <x:c r="K4" s="16" t="str">
        <x:v>Attaque</x:v>
      </x:c>
      <x:c r="L4" s="16" t="str">
        <x:v>Défense</x:v>
      </x:c>
      <x:c r="M4" s="16" t="str">
        <x:v>Attaque Spéciale</x:v>
      </x:c>
      <x:c r="N4" s="16" t="str">
        <x:v>Défense Spéciale</x:v>
      </x:c>
      <x:c r="O4" s="16" t="str">
        <x:v>Vitesse</x:v>
      </x:c>
      <x:c r="P4" s="16" t="str">
        <x:v>Total stats</x:v>
      </x:c>
      <x:c r="Q4" s="16" t="str">
        <x:v>Apparitions classées (wiki)</x:v>
      </x:c>
      <x:c r="R4" s="16" t="str">
        <x:v>Description Pixelmon</x:v>
      </x:c>
      <x:c r="S4" s="16" t="str">
        <x:v>Notes</x:v>
      </x:c>
      <x:c r="T4" s="16" t="str">
        <x:v>Source wiki</x:v>
      </x:c>
    </x:row>
    <x:row r="5" ht="54" customHeight="1">
      <x:c r="A5" s="26" t="n">
        <x:v>1</x:v>
      </x:c>
      <x:c r="B5" s="22" t="str">
        <x:v>Bulbizarre</x:v>
      </x:c>
      <x:c r="C5" s="22" t="str">
        <x:v>Bulbasaur</x:v>
      </x:c>
      <x:c r="D5" s="22" t="str">
        <x:v>Plante</x:v>
      </x:c>
      <x:c r="E5" s="22" t="str">
        <x:v>Poison</x:v>
      </x:c>
      <x:c r="F5" s="22" t="str">
        <x:v>Ultra Rare</x:v>
      </x:c>
      <x:c r="G5" s="44" t="n">
        <x:v>75000</x:v>
      </x:c>
      <x:c r="H5" s="44" t="n">
        <x:f>IF(G5="","",ROUNDUP(G5*3,0))</x:f>
        <x:v>225000</x:v>
      </x:c>
      <x:c r="I5" s="37" t="n">
        <x:v>1</x:v>
      </x:c>
      <x:c r="J5" s="38" t="n">
        <x:v>45</x:v>
      </x:c>
      <x:c r="K5" s="38" t="n">
        <x:v>49</x:v>
      </x:c>
      <x:c r="L5" s="38" t="n">
        <x:v>49</x:v>
      </x:c>
      <x:c r="M5" s="38" t="n">
        <x:v>65</x:v>
      </x:c>
      <x:c r="N5" s="38" t="n">
        <x:v>65</x:v>
      </x:c>
      <x:c r="O5" s="38" t="n">
        <x:v>45</x:v>
      </x:c>
      <x:c r="P5" s="39" t="n">
        <x:f>IF(COUNT(J5:O5)=0,"",SUM(J5:O5))</x:f>
        <x:v>318</x:v>
      </x:c>
      <x:c r="Q5" s="22" t="str">
        <x:v>4 lignes de spawn</x:v>
      </x:c>
      <x:c r="R5" s="22" t="str">
        <x:v>On peut voir Bulbizarre faire la sieste en plein soleil. Une graine est posée sur son dos. En absorbant les rayons du soleil, la graine grossit progressivement.</x:v>
      </x:c>
      <x:c r="S5" s="22" t="str"/>
      <x:c r="T5" s="22" t="str">
        <x:v>https://pixelmonmod.com/wiki/Bulbasaur</x:v>
      </x:c>
    </x:row>
    <x:row r="6" ht="54" customHeight="1">
      <x:c r="A6" s="27" t="n">
        <x:v>2</x:v>
      </x:c>
      <x:c r="B6" s="23" t="str">
        <x:v>Herbizarre</x:v>
      </x:c>
      <x:c r="C6" s="23" t="str">
        <x:v>Ivysaur</x:v>
      </x:c>
      <x:c r="D6" s="23" t="str">
        <x:v>Plante</x:v>
      </x:c>
      <x:c r="E6" s="23" t="str">
        <x:v>Poison</x:v>
      </x:c>
      <x:c r="F6" s="23" t="str">
        <x:v>Ultra Rare</x:v>
      </x:c>
      <x:c r="G6" s="45" t="n">
        <x:v>75000</x:v>
      </x:c>
      <x:c r="H6" s="45" t="n">
        <x:f>IF(G6="","",ROUNDUP(G6*3,0))</x:f>
        <x:v>225000</x:v>
      </x:c>
      <x:c r="I6" s="41" t="n">
        <x:v>1</x:v>
      </x:c>
      <x:c r="J6" s="42" t="n">
        <x:v>60</x:v>
      </x:c>
      <x:c r="K6" s="42" t="n">
        <x:v>62</x:v>
      </x:c>
      <x:c r="L6" s="42" t="n">
        <x:v>63</x:v>
      </x:c>
      <x:c r="M6" s="42" t="n">
        <x:v>80</x:v>
      </x:c>
      <x:c r="N6" s="42" t="n">
        <x:v>80</x:v>
      </x:c>
      <x:c r="O6" s="42" t="n">
        <x:v>60</x:v>
      </x:c>
      <x:c r="P6" s="43" t="n">
        <x:f>IF(COUNT(J6:O6)=0,"",SUM(J6:O6))</x:f>
        <x:v>405</x:v>
      </x:c>
      <x:c r="Q6" s="23" t="str">
        <x:v>5 lignes de spawn</x:v>
      </x:c>
      <x:c r="R6" s="23" t="str">
        <x:v>Un bourgeon pousse sur le dos de ce Pokémon. Pour supporter son poids, les pattes et le tronc d'Herbizarre deviennent robustes. S'il passe plus de temps à se prélasser au soleil, c'est le signe que le bourgeon éclora bientôt en une grande fleur.</x:v>
      </x:c>
      <x:c r="S6" s="23" t="str"/>
      <x:c r="T6" s="23" t="str">
        <x:v>https://pixelmonmod.com/wiki/Ivysaur</x:v>
      </x:c>
    </x:row>
    <x:row r="7" ht="54" customHeight="1">
      <x:c r="A7" s="27" t="n">
        <x:v>3</x:v>
      </x:c>
      <x:c r="B7" s="23" t="str">
        <x:v>Florizarre</x:v>
      </x:c>
      <x:c r="C7" s="23" t="str">
        <x:v>Venusaur</x:v>
      </x:c>
      <x:c r="D7" s="23" t="str">
        <x:v>Plante</x:v>
      </x:c>
      <x:c r="E7" s="23" t="str">
        <x:v>Poison</x:v>
      </x:c>
      <x:c r="F7" s="23" t="str">
        <x:v>Ultra Rare</x:v>
      </x:c>
      <x:c r="G7" s="45" t="n">
        <x:v>75000</x:v>
      </x:c>
      <x:c r="H7" s="45" t="n">
        <x:f>IF(G7="","",ROUNDUP(G7*3,0))</x:f>
        <x:v>225000</x:v>
      </x:c>
      <x:c r="I7" s="41" t="n">
        <x:v>1</x:v>
      </x:c>
      <x:c r="J7" s="42" t="n">
        <x:v>80</x:v>
      </x:c>
      <x:c r="K7" s="42" t="n">
        <x:v>82</x:v>
      </x:c>
      <x:c r="L7" s="42" t="n">
        <x:v>83</x:v>
      </x:c>
      <x:c r="M7" s="42" t="n">
        <x:v>100</x:v>
      </x:c>
      <x:c r="N7" s="42" t="n">
        <x:v>100</x:v>
      </x:c>
      <x:c r="O7" s="42" t="n">
        <x:v>80</x:v>
      </x:c>
      <x:c r="P7" s="43" t="n">
        <x:f>IF(COUNT(J7:O7)=0,"",SUM(J7:O7))</x:f>
        <x:v>525</x:v>
      </x:c>
      <x:c r="Q7" s="23" t="str">
        <x:v>7 lignes de spawn</x:v>
      </x:c>
      <x:c r="R7" s="23" t="str">
        <x:v>Une immense fleur pousse sur le dos de Florizarre. Elle aurait des couleurs éclatantes si elle reçoit assez de soleil et de nutriments. Le parfum de la fleur apaise les émotions humaines.</x:v>
      </x:c>
      <x:c r="S7" s="23" t="str"/>
      <x:c r="T7" s="23" t="str">
        <x:v>https://pixelmonmod.com/wiki/Venusaur</x:v>
      </x:c>
    </x:row>
    <x:row r="8" ht="54" customHeight="1">
      <x:c r="A8" s="27" t="n">
        <x:v>4</x:v>
      </x:c>
      <x:c r="B8" s="23" t="str">
        <x:v>Salamèche</x:v>
      </x:c>
      <x:c r="C8" s="23" t="str">
        <x:v>Charmander</x:v>
      </x:c>
      <x:c r="D8" s="23" t="str">
        <x:v>Feu</x:v>
      </x:c>
      <x:c r="E8" s="23" t="str"/>
      <x:c r="F8" s="23" t="str">
        <x:v>Ultra Rare</x:v>
      </x:c>
      <x:c r="G8" s="45" t="n">
        <x:v>75000</x:v>
      </x:c>
      <x:c r="H8" s="45" t="n">
        <x:f>IF(G8="","",ROUNDUP(G8*3,0))</x:f>
        <x:v>225000</x:v>
      </x:c>
      <x:c r="I8" s="41" t="n">
        <x:v>1</x:v>
      </x:c>
      <x:c r="J8" s="42" t="n">
        <x:v>39</x:v>
      </x:c>
      <x:c r="K8" s="42" t="n">
        <x:v>52</x:v>
      </x:c>
      <x:c r="L8" s="42" t="n">
        <x:v>43</x:v>
      </x:c>
      <x:c r="M8" s="42" t="n">
        <x:v>60</x:v>
      </x:c>
      <x:c r="N8" s="42" t="n">
        <x:v>50</x:v>
      </x:c>
      <x:c r="O8" s="42" t="n">
        <x:v>65</x:v>
      </x:c>
      <x:c r="P8" s="43" t="n">
        <x:f>IF(COUNT(J8:O8)=0,"",SUM(J8:O8))</x:f>
        <x:v>309</x:v>
      </x:c>
      <x:c r="Q8" s="23" t="str">
        <x:v>4 lignes de spawn</x:v>
      </x:c>
      <x:c r="R8" s="23" t="str">
        <x:v>La flamme au bout de sa queue reflète ses émotions. Elle vacille lorsque Salamèche est heureux. S'il se met en colère, la flamme brûle intensément.</x:v>
      </x:c>
      <x:c r="S8" s="23" t="str"/>
      <x:c r="T8" s="23" t="str">
        <x:v>https://pixelmonmod.com/wiki/Charmander</x:v>
      </x:c>
    </x:row>
    <x:row r="9" ht="54" customHeight="1">
      <x:c r="A9" s="27" t="n">
        <x:v>5</x:v>
      </x:c>
      <x:c r="B9" s="23" t="str">
        <x:v>Reptincel</x:v>
      </x:c>
      <x:c r="C9" s="23" t="str">
        <x:v>Charmeleon</x:v>
      </x:c>
      <x:c r="D9" s="23" t="str">
        <x:v>Feu</x:v>
      </x:c>
      <x:c r="E9" s="23" t="str"/>
      <x:c r="F9" s="23" t="str">
        <x:v>Ultra Rare</x:v>
      </x:c>
      <x:c r="G9" s="45" t="n">
        <x:v>75000</x:v>
      </x:c>
      <x:c r="H9" s="45" t="n">
        <x:f>IF(G9="","",ROUNDUP(G9*3,0))</x:f>
        <x:v>225000</x:v>
      </x:c>
      <x:c r="I9" s="41" t="n">
        <x:v>1</x:v>
      </x:c>
      <x:c r="J9" s="42" t="n">
        <x:v>58</x:v>
      </x:c>
      <x:c r="K9" s="42" t="n">
        <x:v>64</x:v>
      </x:c>
      <x:c r="L9" s="42" t="n">
        <x:v>58</x:v>
      </x:c>
      <x:c r="M9" s="42" t="n">
        <x:v>80</x:v>
      </x:c>
      <x:c r="N9" s="42" t="n">
        <x:v>65</x:v>
      </x:c>
      <x:c r="O9" s="42" t="n">
        <x:v>80</x:v>
      </x:c>
      <x:c r="P9" s="43" t="n">
        <x:f>IF(COUNT(J9:O9)=0,"",SUM(J9:O9))</x:f>
        <x:v>405</x:v>
      </x:c>
      <x:c r="Q9" s="23" t="str">
        <x:v>4 lignes de spawn</x:v>
      </x:c>
      <x:c r="R9" s="23" t="str">
        <x:v>Reptincel détruit impitoyablement ses adversaires grâce à ses griffes acérées. S'il rencontre un ennemi puissant, il devient agressif. Dans cet état survolté, la flamme au bout de sa queue vire au blanc bleuté.</x:v>
      </x:c>
      <x:c r="S9" s="23" t="str"/>
      <x:c r="T9" s="23" t="str">
        <x:v>https://pixelmonmod.com/wiki/Charmeleon</x:v>
      </x:c>
    </x:row>
    <x:row r="10" ht="54" customHeight="1">
      <x:c r="A10" s="27" t="n">
        <x:v>6</x:v>
      </x:c>
      <x:c r="B10" s="23" t="str">
        <x:v>Dracaufeu</x:v>
      </x:c>
      <x:c r="C10" s="23" t="str">
        <x:v>Charizard</x:v>
      </x:c>
      <x:c r="D10" s="23" t="str">
        <x:v>Feu</x:v>
      </x:c>
      <x:c r="E10" s="23" t="str">
        <x:v>Vol</x:v>
      </x:c>
      <x:c r="F10" s="23" t="str">
        <x:v>Ultra Rare</x:v>
      </x:c>
      <x:c r="G10" s="45" t="n">
        <x:v>75000</x:v>
      </x:c>
      <x:c r="H10" s="45" t="n">
        <x:f>IF(G10="","",ROUNDUP(G10*3,0))</x:f>
        <x:v>225000</x:v>
      </x:c>
      <x:c r="I10" s="41" t="n">
        <x:v>1</x:v>
      </x:c>
      <x:c r="J10" s="42" t="n">
        <x:v>78</x:v>
      </x:c>
      <x:c r="K10" s="42" t="n">
        <x:v>84</x:v>
      </x:c>
      <x:c r="L10" s="42" t="n">
        <x:v>78</x:v>
      </x:c>
      <x:c r="M10" s="42" t="n">
        <x:v>109</x:v>
      </x:c>
      <x:c r="N10" s="42" t="n">
        <x:v>85</x:v>
      </x:c>
      <x:c r="O10" s="42" t="n">
        <x:v>100</x:v>
      </x:c>
      <x:c r="P10" s="43" t="n">
        <x:f>IF(COUNT(J10:O10)=0,"",SUM(J10:O10))</x:f>
        <x:v>534</x:v>
      </x:c>
      <x:c r="Q10" s="23" t="str">
        <x:v>7 lignes de spawn</x:v>
      </x:c>
      <x:c r="R10" s="23" t="str">
        <x:v>Dracaufeu parcourt les cieux à la recherche d'adversaires puissants. Il crache un feu si chaud qu'il peut tout faire fondre. Cependant, il ne dirige jamais son souffle ardent vers un adversaire plus faible que lui.</x:v>
      </x:c>
      <x:c r="S10" s="23" t="str"/>
      <x:c r="T10" s="23" t="str">
        <x:v>https://pixelmonmod.com/wiki/Charizard</x:v>
      </x:c>
    </x:row>
    <x:row r="11" ht="54" customHeight="1">
      <x:c r="A11" s="27" t="n">
        <x:v>7</x:v>
      </x:c>
      <x:c r="B11" s="23" t="str">
        <x:v>Carapuce</x:v>
      </x:c>
      <x:c r="C11" s="23" t="str">
        <x:v>Squirtle</x:v>
      </x:c>
      <x:c r="D11" s="23" t="str">
        <x:v>Eau</x:v>
      </x:c>
      <x:c r="E11" s="23" t="str"/>
      <x:c r="F11" s="23" t="str">
        <x:v>Ultra Rare</x:v>
      </x:c>
      <x:c r="G11" s="45" t="n">
        <x:v>75000</x:v>
      </x:c>
      <x:c r="H11" s="45" t="n">
        <x:f>IF(G11="","",ROUNDUP(G11*3,0))</x:f>
        <x:v>225000</x:v>
      </x:c>
      <x:c r="I11" s="41" t="n">
        <x:v>0.643</x:v>
      </x:c>
      <x:c r="J11" s="42" t="n">
        <x:v>44</x:v>
      </x:c>
      <x:c r="K11" s="42" t="n">
        <x:v>48</x:v>
      </x:c>
      <x:c r="L11" s="42" t="n">
        <x:v>65</x:v>
      </x:c>
      <x:c r="M11" s="42" t="n">
        <x:v>50</x:v>
      </x:c>
      <x:c r="N11" s="42" t="n">
        <x:v>64</x:v>
      </x:c>
      <x:c r="O11" s="42" t="n">
        <x:v>43</x:v>
      </x:c>
      <x:c r="P11" s="43" t="n">
        <x:f>IF(COUNT(J11:O11)=0,"",SUM(J11:O11))</x:f>
        <x:v>314</x:v>
      </x:c>
      <x:c r="Q11" s="23" t="str">
        <x:v>14 lignes de spawn</x:v>
      </x:c>
      <x:c r="R11" s="23" t="str">
        <x:v>La carapace de Carapuce ne lui sert pas qu'à se protéger. La forme arrondie de sa carapace et les rainures qui la parcourent réduisent la résistance dans l'eau, permettant à ce Pokémon de nager à grande vitesse.</x:v>
      </x:c>
      <x:c r="S11" s="23" t="str"/>
      <x:c r="T11" s="23" t="str">
        <x:v>https://pixelmonmod.com/wiki/Squirtle</x:v>
      </x:c>
    </x:row>
    <x:row r="12" ht="54" customHeight="1">
      <x:c r="A12" s="27" t="n">
        <x:v>8</x:v>
      </x:c>
      <x:c r="B12" s="23" t="str">
        <x:v>Carabaffe</x:v>
      </x:c>
      <x:c r="C12" s="23" t="str">
        <x:v>Wartortle</x:v>
      </x:c>
      <x:c r="D12" s="23" t="str">
        <x:v>Eau</x:v>
      </x:c>
      <x:c r="E12" s="23" t="str"/>
      <x:c r="F12" s="23" t="str">
        <x:v>Ultra Rare</x:v>
      </x:c>
      <x:c r="G12" s="45" t="n">
        <x:v>75000</x:v>
      </x:c>
      <x:c r="H12" s="45" t="n">
        <x:f>IF(G12="","",ROUNDUP(G12*3,0))</x:f>
        <x:v>225000</x:v>
      </x:c>
      <x:c r="I12" s="41" t="n">
        <x:v>0.778</x:v>
      </x:c>
      <x:c r="J12" s="42" t="n">
        <x:v>59</x:v>
      </x:c>
      <x:c r="K12" s="42" t="n">
        <x:v>63</x:v>
      </x:c>
      <x:c r="L12" s="42" t="n">
        <x:v>80</x:v>
      </x:c>
      <x:c r="M12" s="42" t="n">
        <x:v>65</x:v>
      </x:c>
      <x:c r="N12" s="42" t="n">
        <x:v>80</x:v>
      </x:c>
      <x:c r="O12" s="42" t="n">
        <x:v>58</x:v>
      </x:c>
      <x:c r="P12" s="43" t="n">
        <x:f>IF(COUNT(J12:O12)=0,"",SUM(J12:O12))</x:f>
        <x:v>405</x:v>
      </x:c>
      <x:c r="Q12" s="23" t="str">
        <x:v>9 lignes de spawn</x:v>
      </x:c>
      <x:c r="R12" s="23" t="str">
        <x:v>Sa queue est grande et recouverte d'une fourrure dense et soyeuse. Elle s'assombrit avec l'âge de Carabaffe. Les griffures sur sa carapace témoignent de la robustesse de ce Pokémon au combat.</x:v>
      </x:c>
      <x:c r="S12" s="23" t="str"/>
      <x:c r="T12" s="23" t="str">
        <x:v>https://pixelmonmod.com/wiki/Wartortle</x:v>
      </x:c>
    </x:row>
    <x:row r="13" ht="54" customHeight="1">
      <x:c r="A13" s="27" t="n">
        <x:v>9</x:v>
      </x:c>
      <x:c r="B13" s="23" t="str">
        <x:v>Tortank</x:v>
      </x:c>
      <x:c r="C13" s="23" t="str">
        <x:v>Blastoise</x:v>
      </x:c>
      <x:c r="D13" s="23" t="str">
        <x:v>Eau</x:v>
      </x:c>
      <x:c r="E13" s="23" t="str"/>
      <x:c r="F13" s="23" t="str">
        <x:v>Ultra Rare</x:v>
      </x:c>
      <x:c r="G13" s="45" t="n">
        <x:v>75000</x:v>
      </x:c>
      <x:c r="H13" s="45" t="n">
        <x:f>IF(G13="","",ROUNDUP(G13*3,0))</x:f>
        <x:v>225000</x:v>
      </x:c>
      <x:c r="I13" s="41" t="n">
        <x:v>1</x:v>
      </x:c>
      <x:c r="J13" s="42" t="n">
        <x:v>79</x:v>
      </x:c>
      <x:c r="K13" s="42" t="n">
        <x:v>83</x:v>
      </x:c>
      <x:c r="L13" s="42" t="n">
        <x:v>100</x:v>
      </x:c>
      <x:c r="M13" s="42" t="n">
        <x:v>85</x:v>
      </x:c>
      <x:c r="N13" s="42" t="n">
        <x:v>105</x:v>
      </x:c>
      <x:c r="O13" s="42" t="n">
        <x:v>78</x:v>
      </x:c>
      <x:c r="P13" s="43" t="n">
        <x:f>IF(COUNT(J13:O13)=0,"",SUM(J13:O13))</x:f>
        <x:v>530</x:v>
      </x:c>
      <x:c r="Q13" s="23" t="str">
        <x:v>12 lignes de spawn</x:v>
      </x:c>
      <x:c r="R13" s="23" t="str">
        <x:v>Tortank possède des canons à eau qui dépassent de sa carapace. Ils sont très précis. Ils peuvent tirer des projectiles d'eau avec assez de précision pour atteindre une canette vide à plus de 50 mètres.</x:v>
      </x:c>
      <x:c r="S13" s="23" t="str"/>
      <x:c r="T13" s="23" t="str">
        <x:v>https://pixelmonmod.com/wiki/Blastoise</x:v>
      </x:c>
    </x:row>
    <x:row r="14" ht="54" customHeight="1">
      <x:c r="A14" s="27" t="n">
        <x:v>10</x:v>
      </x:c>
      <x:c r="B14" s="23" t="str">
        <x:v>Chenipan</x:v>
      </x:c>
      <x:c r="C14" s="23" t="str">
        <x:v>Caterpie</x:v>
      </x:c>
      <x:c r="D14" s="23" t="str">
        <x:v>Insecte</x:v>
      </x:c>
      <x:c r="E14" s="23" t="str"/>
      <x:c r="F14" s="23" t="str">
        <x:v>Common</x:v>
      </x:c>
      <x:c r="G14" s="45" t="n">
        <x:v>2000</x:v>
      </x:c>
      <x:c r="H14" s="45" t="n">
        <x:f>IF(G14="","",ROUNDUP(G14*3,0))</x:f>
        <x:v>6000</x:v>
      </x:c>
      <x:c r="I14" s="41" t="n">
        <x:v>0.483</x:v>
      </x:c>
      <x:c r="J14" s="42" t="n">
        <x:v>45</x:v>
      </x:c>
      <x:c r="K14" s="42" t="n">
        <x:v>30</x:v>
      </x:c>
      <x:c r="L14" s="42" t="n">
        <x:v>35</x:v>
      </x:c>
      <x:c r="M14" s="42" t="n">
        <x:v>20</x:v>
      </x:c>
      <x:c r="N14" s="42" t="n">
        <x:v>20</x:v>
      </x:c>
      <x:c r="O14" s="42" t="n">
        <x:v>45</x:v>
      </x:c>
      <x:c r="P14" s="43" t="n">
        <x:f>IF(COUNT(J14:O14)=0,"",SUM(J14:O14))</x:f>
        <x:v>195</x:v>
      </x:c>
      <x:c r="Q14" s="23" t="str">
        <x:v>29 lignes de spawn</x:v>
      </x:c>
      <x:c r="R14" s="23" t="str">
        <x:v>Chenipan a un appétit féroce. Il peut dévorer des feuilles plus grandes que lui sous vos yeux. L'antenne sur sa tête dégage une odeur incroyablement forte.</x:v>
      </x:c>
      <x:c r="S14" s="23" t="str"/>
      <x:c r="T14" s="23" t="str">
        <x:v>https://pixelmonmod.com/wiki/Caterpie</x:v>
      </x:c>
    </x:row>
    <x:row r="15" ht="54" customHeight="1">
      <x:c r="A15" s="27" t="n">
        <x:v>11</x:v>
      </x:c>
      <x:c r="B15" s="23" t="str">
        <x:v>Chrysacier</x:v>
      </x:c>
      <x:c r="C15" s="23" t="str">
        <x:v>Metapod</x:v>
      </x:c>
      <x:c r="D15" s="23" t="str">
        <x:v>Insecte</x:v>
      </x:c>
      <x:c r="E15" s="23" t="str"/>
      <x:c r="F15" s="23" t="str">
        <x:v>Uncommon</x:v>
      </x:c>
      <x:c r="G15" s="45" t="n">
        <x:v>5000</x:v>
      </x:c>
      <x:c r="H15" s="45" t="n">
        <x:f>IF(G15="","",ROUNDUP(G15*3,0))</x:f>
        <x:v>15000</x:v>
      </x:c>
      <x:c r="I15" s="41" t="n">
        <x:v>0.75</x:v>
      </x:c>
      <x:c r="J15" s="42" t="n">
        <x:v>50</x:v>
      </x:c>
      <x:c r="K15" s="42" t="n">
        <x:v>20</x:v>
      </x:c>
      <x:c r="L15" s="42" t="n">
        <x:v>55</x:v>
      </x:c>
      <x:c r="M15" s="42" t="n">
        <x:v>25</x:v>
      </x:c>
      <x:c r="N15" s="42" t="n">
        <x:v>25</x:v>
      </x:c>
      <x:c r="O15" s="42" t="n">
        <x:v>30</x:v>
      </x:c>
      <x:c r="P15" s="43" t="n">
        <x:f>IF(COUNT(J15:O15)=0,"",SUM(J15:O15))</x:f>
        <x:v>205</x:v>
      </x:c>
      <x:c r="Q15" s="23" t="str">
        <x:v>28 lignes de spawn</x:v>
      </x:c>
      <x:c r="R15" s="23" t="str">
        <x:v>La carapace qui recouvre le corps de ce Pokémon est aussi dure qu'une plaque de fer. Chrysacier ne bouge presque pas. Il reste immobile pour préparer ses entrailles encore molles à l'évolution à l'intérieur de sa coque.</x:v>
      </x:c>
      <x:c r="S15" s="23" t="str"/>
      <x:c r="T15" s="23" t="str">
        <x:v>https://pixelmonmod.com/wiki/Metapod</x:v>
      </x:c>
    </x:row>
    <x:row r="16" ht="54" customHeight="1">
      <x:c r="A16" s="27" t="n">
        <x:v>12</x:v>
      </x:c>
      <x:c r="B16" s="23" t="str">
        <x:v>Papilusion</x:v>
      </x:c>
      <x:c r="C16" s="23" t="str">
        <x:v>Butterfree</x:v>
      </x:c>
      <x:c r="D16" s="23" t="str">
        <x:v>Insecte</x:v>
      </x:c>
      <x:c r="E16" s="23" t="str">
        <x:v>Vol</x:v>
      </x:c>
      <x:c r="F16" s="23" t="str">
        <x:v>Ultra Rare</x:v>
      </x:c>
      <x:c r="G16" s="45" t="n">
        <x:v>75000</x:v>
      </x:c>
      <x:c r="H16" s="45" t="n">
        <x:f>IF(G16="","",ROUNDUP(G16*3,0))</x:f>
        <x:v>225000</x:v>
      </x:c>
      <x:c r="I16" s="41" t="n">
        <x:v>0.7240000000000001</x:v>
      </x:c>
      <x:c r="J16" s="42" t="n">
        <x:v>60</x:v>
      </x:c>
      <x:c r="K16" s="42" t="n">
        <x:v>45</x:v>
      </x:c>
      <x:c r="L16" s="42" t="n">
        <x:v>50</x:v>
      </x:c>
      <x:c r="M16" s="42" t="n">
        <x:v>90</x:v>
      </x:c>
      <x:c r="N16" s="42" t="n">
        <x:v>80</x:v>
      </x:c>
      <x:c r="O16" s="42" t="n">
        <x:v>70</x:v>
      </x:c>
      <x:c r="P16" s="43" t="n">
        <x:f>IF(COUNT(J16:O16)=0,"",SUM(J16:O16))</x:f>
        <x:v>395</x:v>
      </x:c>
      <x:c r="Q16" s="23" t="str">
        <x:v>29 lignes de spawn</x:v>
      </x:c>
      <x:c r="R16" s="23" t="str">
        <x:v>Papilusion a une capacité exceptionnelle à trouver le miel le plus délicieux. Il peut même repérer, extraire et transporter du miel provenant de fleurs situées à plus de dix kilomètres de son nid.</x:v>
      </x:c>
      <x:c r="S16" s="23" t="str"/>
      <x:c r="T16" s="23" t="str">
        <x:v>https://pixelmonmod.com/wiki/Butterfree</x:v>
      </x:c>
    </x:row>
    <x:row r="17" ht="54" customHeight="1">
      <x:c r="A17" s="27" t="n">
        <x:v>13</x:v>
      </x:c>
      <x:c r="B17" s="23" t="str">
        <x:v>Aspicot</x:v>
      </x:c>
      <x:c r="C17" s="23" t="str">
        <x:v>Weedle</x:v>
      </x:c>
      <x:c r="D17" s="23" t="str">
        <x:v>Insecte</x:v>
      </x:c>
      <x:c r="E17" s="23" t="str">
        <x:v>Poison</x:v>
      </x:c>
      <x:c r="F17" s="23" t="str">
        <x:v>Common</x:v>
      </x:c>
      <x:c r="G17" s="45" t="n">
        <x:v>2000</x:v>
      </x:c>
      <x:c r="H17" s="45" t="n">
        <x:f>IF(G17="","",ROUNDUP(G17*3,0))</x:f>
        <x:v>6000</x:v>
      </x:c>
      <x:c r="I17" s="41" t="n">
        <x:v>0.5379999999999999</x:v>
      </x:c>
      <x:c r="J17" s="42" t="n">
        <x:v>40</x:v>
      </x:c>
      <x:c r="K17" s="42" t="n">
        <x:v>35</x:v>
      </x:c>
      <x:c r="L17" s="42" t="n">
        <x:v>30</x:v>
      </x:c>
      <x:c r="M17" s="42" t="n">
        <x:v>20</x:v>
      </x:c>
      <x:c r="N17" s="42" t="n">
        <x:v>20</x:v>
      </x:c>
      <x:c r="O17" s="42" t="n">
        <x:v>50</x:v>
      </x:c>
      <x:c r="P17" s="43" t="n">
        <x:f>IF(COUNT(J17:O17)=0,"",SUM(J17:O17))</x:f>
        <x:v>195</x:v>
      </x:c>
      <x:c r="Q17" s="23" t="str">
        <x:v>26 lignes de spawn</x:v>
      </x:c>
      <x:c r="R17" s="23" t="str">
        <x:v>Aspicot possède un odorat extrêmement développé. Il est capable de distinguer ses feuilles préférées de celles qu'il n'aime pas simplement en les reniflant avec sa grande trompe rouge.</x:v>
      </x:c>
      <x:c r="S17" s="23" t="str"/>
      <x:c r="T17" s="23" t="str">
        <x:v>https://pixelmonmod.com/wiki/Weedle</x:v>
      </x:c>
    </x:row>
    <x:row r="18" ht="54" customHeight="1">
      <x:c r="A18" s="27" t="n">
        <x:v>14</x:v>
      </x:c>
      <x:c r="B18" s="23" t="str">
        <x:v>Coconfort</x:v>
      </x:c>
      <x:c r="C18" s="23" t="str">
        <x:v>Kakuna</x:v>
      </x:c>
      <x:c r="D18" s="23" t="str">
        <x:v>Insecte</x:v>
      </x:c>
      <x:c r="E18" s="23" t="str">
        <x:v>Poison</x:v>
      </x:c>
      <x:c r="F18" s="23" t="str">
        <x:v>Uncommon</x:v>
      </x:c>
      <x:c r="G18" s="45" t="n">
        <x:v>5000</x:v>
      </x:c>
      <x:c r="H18" s="45" t="n">
        <x:f>IF(G18="","",ROUNDUP(G18*3,0))</x:f>
        <x:v>15000</x:v>
      </x:c>
      <x:c r="I18" s="41" t="n">
        <x:v>0.72</x:v>
      </x:c>
      <x:c r="J18" s="42" t="n">
        <x:v>45</x:v>
      </x:c>
      <x:c r="K18" s="42" t="n">
        <x:v>25</x:v>
      </x:c>
      <x:c r="L18" s="42" t="n">
        <x:v>50</x:v>
      </x:c>
      <x:c r="M18" s="42" t="n">
        <x:v>25</x:v>
      </x:c>
      <x:c r="N18" s="42" t="n">
        <x:v>25</x:v>
      </x:c>
      <x:c r="O18" s="42" t="n">
        <x:v>35</x:v>
      </x:c>
      <x:c r="P18" s="43" t="n">
        <x:f>IF(COUNT(J18:O18)=0,"",SUM(J18:O18))</x:f>
        <x:v>205</x:v>
      </x:c>
      <x:c r="Q18" s="23" t="str">
        <x:v>25 lignes de spawn</x:v>
      </x:c>
      <x:c r="R18" s="23" t="str">
        <x:v>Coconfort reste presque immobile lorsqu'il s'accroche à un arbre. Mais à l'intérieur, il est très actif et se prépare à son évolution. Sa carapace devient alors brûlante au toucher.</x:v>
      </x:c>
      <x:c r="S18" s="23" t="str"/>
      <x:c r="T18" s="23" t="str">
        <x:v>https://pixelmonmod.com/wiki/Kakuna</x:v>
      </x:c>
    </x:row>
    <x:row r="19" ht="54" customHeight="1">
      <x:c r="A19" s="27" t="n">
        <x:v>15</x:v>
      </x:c>
      <x:c r="B19" s="23" t="str">
        <x:v>Dardargnan</x:v>
      </x:c>
      <x:c r="C19" s="23" t="str">
        <x:v>Beedrill</x:v>
      </x:c>
      <x:c r="D19" s="23" t="str">
        <x:v>Insecte</x:v>
      </x:c>
      <x:c r="E19" s="23" t="str">
        <x:v>Poison</x:v>
      </x:c>
      <x:c r="F19" s="23" t="str">
        <x:v>Ultra Rare</x:v>
      </x:c>
      <x:c r="G19" s="45" t="n">
        <x:v>75000</x:v>
      </x:c>
      <x:c r="H19" s="45" t="n">
        <x:f>IF(G19="","",ROUNDUP(G19*3,0))</x:f>
        <x:v>225000</x:v>
      </x:c>
      <x:c r="I19" s="41" t="n">
        <x:v>0.857</x:v>
      </x:c>
      <x:c r="J19" s="42" t="n">
        <x:v>65</x:v>
      </x:c>
      <x:c r="K19" s="42" t="n">
        <x:v>90</x:v>
      </x:c>
      <x:c r="L19" s="42" t="n">
        <x:v>40</x:v>
      </x:c>
      <x:c r="M19" s="42" t="n">
        <x:v>45</x:v>
      </x:c>
      <x:c r="N19" s="42" t="n">
        <x:v>80</x:v>
      </x:c>
      <x:c r="O19" s="42" t="n">
        <x:v>75</x:v>
      </x:c>
      <x:c r="P19" s="43" t="n">
        <x:f>IF(COUNT(J19:O19)=0,"",SUM(J19:O19))</x:f>
        <x:v>395</x:v>
      </x:c>
      <x:c r="Q19" s="23" t="str">
        <x:v>28 lignes de spawn</x:v>
      </x:c>
      <x:c r="R19" s="23" t="str">
        <x:v>Dardargnan est extrêmement territorial. Mieux vaut ne jamais approcher de son nid — c'est pour sa propre sécurité. S'il est irrité, il attaquera en essaim furieux.</x:v>
      </x:c>
      <x:c r="S19" s="23" t="str"/>
      <x:c r="T19" s="23" t="str">
        <x:v>https://pixelmonmod.com/wiki/Beedrill</x:v>
      </x:c>
    </x:row>
    <x:row r="20" ht="54" customHeight="1">
      <x:c r="A20" s="27" t="n">
        <x:v>16</x:v>
      </x:c>
      <x:c r="B20" s="23" t="str">
        <x:v>Roucool</x:v>
      </x:c>
      <x:c r="C20" s="23" t="str">
        <x:v>Pidgey</x:v>
      </x:c>
      <x:c r="D20" s="23" t="str">
        <x:v>Normal</x:v>
      </x:c>
      <x:c r="E20" s="23" t="str">
        <x:v>Vol</x:v>
      </x:c>
      <x:c r="F20" s="23" t="str">
        <x:v>Common</x:v>
      </x:c>
      <x:c r="G20" s="45" t="n">
        <x:v>2000</x:v>
      </x:c>
      <x:c r="H20" s="45" t="n">
        <x:f>IF(G20="","",ROUNDUP(G20*3,0))</x:f>
        <x:v>6000</x:v>
      </x:c>
      <x:c r="I20" s="41" t="n">
        <x:v>0.5</x:v>
      </x:c>
      <x:c r="J20" s="42" t="n">
        <x:v>40</x:v>
      </x:c>
      <x:c r="K20" s="42" t="n">
        <x:v>45</x:v>
      </x:c>
      <x:c r="L20" s="42" t="n">
        <x:v>40</x:v>
      </x:c>
      <x:c r="M20" s="42" t="n">
        <x:v>35</x:v>
      </x:c>
      <x:c r="N20" s="42" t="n">
        <x:v>35</x:v>
      </x:c>
      <x:c r="O20" s="42" t="n">
        <x:v>56</x:v>
      </x:c>
      <x:c r="P20" s="43" t="n">
        <x:f>IF(COUNT(J20:O20)=0,"",SUM(J20:O20))</x:f>
        <x:v>251</x:v>
      </x:c>
      <x:c r="Q20" s="23" t="str">
        <x:v>12 lignes de spawn</x:v>
      </x:c>
      <x:c r="R20" s="23" t="str">
        <x:v>Roucool possède un sens de l'orientation extrêmement développé. Il peut toujours retrouver son nid, même après en avoir été éloigné.</x:v>
      </x:c>
      <x:c r="S20" s="23" t="str"/>
      <x:c r="T20" s="23" t="str">
        <x:v>https://pixelmonmod.com/wiki/Pidgey</x:v>
      </x:c>
    </x:row>
    <x:row r="21" ht="54" customHeight="1">
      <x:c r="A21" s="27" t="n">
        <x:v>17</x:v>
      </x:c>
      <x:c r="B21" s="23" t="str">
        <x:v>Roucoups</x:v>
      </x:c>
      <x:c r="C21" s="23" t="str">
        <x:v>Pidgeotto</x:v>
      </x:c>
      <x:c r="D21" s="23" t="str">
        <x:v>Normal</x:v>
      </x:c>
      <x:c r="E21" s="23" t="str">
        <x:v>Vol</x:v>
      </x:c>
      <x:c r="F21" s="23" t="str">
        <x:v>Uncommon</x:v>
      </x:c>
      <x:c r="G21" s="45" t="n">
        <x:v>5000</x:v>
      </x:c>
      <x:c r="H21" s="45" t="n">
        <x:f>IF(G21="","",ROUNDUP(G21*3,0))</x:f>
        <x:v>15000</x:v>
      </x:c>
      <x:c r="I21" s="41" t="n">
        <x:v>0.667</x:v>
      </x:c>
      <x:c r="J21" s="42" t="n">
        <x:v>63</x:v>
      </x:c>
      <x:c r="K21" s="42" t="n">
        <x:v>60</x:v>
      </x:c>
      <x:c r="L21" s="42" t="n">
        <x:v>55</x:v>
      </x:c>
      <x:c r="M21" s="42" t="n">
        <x:v>50</x:v>
      </x:c>
      <x:c r="N21" s="42" t="n">
        <x:v>50</x:v>
      </x:c>
      <x:c r="O21" s="42" t="n">
        <x:v>71</x:v>
      </x:c>
      <x:c r="P21" s="43" t="n">
        <x:f>IF(COUNT(J21:O21)=0,"",SUM(J21:O21))</x:f>
        <x:v>349</x:v>
      </x:c>
      <x:c r="Q21" s="23" t="str">
        <x:v>9 lignes de spawn</x:v>
      </x:c>
      <x:c r="R21" s="23" t="str">
        <x:v>Roucoups revendique une large zone comme territoire. Il la survole constamment pour la surveiller. Si quelqu'un viole son territoire, il punit son ennemi sans pitié grâce à ses serres acérées.</x:v>
      </x:c>
      <x:c r="S21" s="23" t="str"/>
      <x:c r="T21" s="23" t="str">
        <x:v>https://pixelmonmod.com/wiki/Pidgeotto</x:v>
      </x:c>
    </x:row>
    <x:row r="22" ht="54" customHeight="1">
      <x:c r="A22" s="27" t="n">
        <x:v>18</x:v>
      </x:c>
      <x:c r="B22" s="23" t="str">
        <x:v>Roucarnage</x:v>
      </x:c>
      <x:c r="C22" s="23" t="str">
        <x:v>Pidgeot</x:v>
      </x:c>
      <x:c r="D22" s="23" t="str">
        <x:v>Normal</x:v>
      </x:c>
      <x:c r="E22" s="23" t="str">
        <x:v>Vol</x:v>
      </x:c>
      <x:c r="F22" s="23" t="str">
        <x:v>Ultra Rare</x:v>
      </x:c>
      <x:c r="G22" s="45" t="n">
        <x:v>75000</x:v>
      </x:c>
      <x:c r="H22" s="45" t="n">
        <x:f>IF(G22="","",ROUNDUP(G22*3,0))</x:f>
        <x:v>225000</x:v>
      </x:c>
      <x:c r="I22" s="41" t="n">
        <x:v>1</x:v>
      </x:c>
      <x:c r="J22" s="42" t="n">
        <x:v>83</x:v>
      </x:c>
      <x:c r="K22" s="42" t="n">
        <x:v>80</x:v>
      </x:c>
      <x:c r="L22" s="42" t="n">
        <x:v>75</x:v>
      </x:c>
      <x:c r="M22" s="42" t="n">
        <x:v>70</x:v>
      </x:c>
      <x:c r="N22" s="42" t="n">
        <x:v>70</x:v>
      </x:c>
      <x:c r="O22" s="42" t="n">
        <x:v>101</x:v>
      </x:c>
      <x:c r="P22" s="43" t="n">
        <x:f>IF(COUNT(J22:O22)=0,"",SUM(J22:O22))</x:f>
        <x:v>479</x:v>
      </x:c>
      <x:c r="Q22" s="23" t="str">
        <x:v>9 lignes de spawn</x:v>
      </x:c>
      <x:c r="R22" s="23" t="str">
        <x:v>Ce Pokémon possède un plumage éblouissant aux plumes brillantes. De nombreux Dresseurs sont fascinés par la beauté de sa huppe et choisissent Roucarnage pour cette raison.</x:v>
      </x:c>
      <x:c r="S22" s="23" t="str"/>
      <x:c r="T22" s="23" t="str">
        <x:v>https://pixelmonmod.com/wiki/Pidgeot</x:v>
      </x:c>
    </x:row>
    <x:row r="23" ht="54" customHeight="1">
      <x:c r="A23" s="27" t="n">
        <x:v>19</x:v>
      </x:c>
      <x:c r="B23" s="23" t="str">
        <x:v>Rattata</x:v>
      </x:c>
      <x:c r="C23" s="23" t="str">
        <x:v>Rattata</x:v>
      </x:c>
      <x:c r="D23" s="23" t="str">
        <x:v>Normal</x:v>
      </x:c>
      <x:c r="E23" s="23" t="str"/>
      <x:c r="F23" s="23" t="str">
        <x:v>Common / Rare / Ultra Rare</x:v>
      </x:c>
      <x:c r="G23" s="45" t="n">
        <x:v>75000</x:v>
      </x:c>
      <x:c r="H23" s="45" t="n">
        <x:f>IF(G23="","",ROUNDUP(G23*3,0))</x:f>
        <x:v>225000</x:v>
      </x:c>
      <x:c r="I23" s="41" t="n">
        <x:v>0.33299999999999996</x:v>
      </x:c>
      <x:c r="J23" s="42" t="n">
        <x:v>30</x:v>
      </x:c>
      <x:c r="K23" s="42" t="n">
        <x:v>56</x:v>
      </x:c>
      <x:c r="L23" s="42" t="n">
        <x:v>35</x:v>
      </x:c>
      <x:c r="M23" s="42" t="n">
        <x:v>25</x:v>
      </x:c>
      <x:c r="N23" s="42" t="n">
        <x:v>35</x:v>
      </x:c>
      <x:c r="O23" s="42" t="n">
        <x:v>72</x:v>
      </x:c>
      <x:c r="P23" s="43" t="n">
        <x:f>IF(COUNT(J23:O23)=0,"",SUM(J23:O23))</x:f>
        <x:v>253</x:v>
      </x:c>
      <x:c r="Q23" s="23" t="str">
        <x:v>9 lignes de spawn</x:v>
      </x:c>
      <x:c r="R23" s="23" t="str">
        <x:v>Rattata est extrêmement prudent. Même endormi, il écoute en permanence en remuant les oreilles. Il s'adapte à n'importe quel environnement et fera son nid partout.</x:v>
      </x:c>
      <x:c r="S23" s="23" t="str">
        <x:v>Égalité de fréquence; prix provisoire basé sur le palier le plus élevé.</x:v>
      </x:c>
      <x:c r="T23" s="23" t="str">
        <x:v>https://pixelmonmod.com/wiki/Rattata</x:v>
      </x:c>
    </x:row>
    <x:row r="24" ht="54" customHeight="1">
      <x:c r="A24" s="27" t="n">
        <x:v>20</x:v>
      </x:c>
      <x:c r="B24" s="23" t="str">
        <x:v>Rattatac</x:v>
      </x:c>
      <x:c r="C24" s="23" t="str">
        <x:v>Raticate</x:v>
      </x:c>
      <x:c r="D24" s="23" t="str">
        <x:v>Normal</x:v>
      </x:c>
      <x:c r="E24" s="23" t="str"/>
      <x:c r="F24" s="23" t="str">
        <x:v>Uncommon / Very Rare / Ultra Rare</x:v>
      </x:c>
      <x:c r="G24" s="45" t="n">
        <x:v>75000</x:v>
      </x:c>
      <x:c r="H24" s="45" t="n">
        <x:f>IF(G24="","",ROUNDUP(G24*3,0))</x:f>
        <x:v>225000</x:v>
      </x:c>
      <x:c r="I24" s="41" t="n">
        <x:v>0.33299999999999996</x:v>
      </x:c>
      <x:c r="J24" s="42" t="n">
        <x:v>55</x:v>
      </x:c>
      <x:c r="K24" s="42" t="n">
        <x:v>81</x:v>
      </x:c>
      <x:c r="L24" s="42" t="n">
        <x:v>60</x:v>
      </x:c>
      <x:c r="M24" s="42" t="n">
        <x:v>50</x:v>
      </x:c>
      <x:c r="N24" s="42" t="n">
        <x:v>70</x:v>
      </x:c>
      <x:c r="O24" s="42" t="n">
        <x:v>97</x:v>
      </x:c>
      <x:c r="P24" s="43" t="n">
        <x:f>IF(COUNT(J24:O24)=0,"",SUM(J24:O24))</x:f>
        <x:v>413</x:v>
      </x:c>
      <x:c r="Q24" s="23" t="str">
        <x:v>9 lignes de spawn</x:v>
      </x:c>
      <x:c r="R24" s="23" t="str">
        <x:v>Les crocs robustes de Rattatac poussent sans arrêt. Pour les user, il ronge des rochers et des rondins, et peut même s'attaquer aux murs des maisons.</x:v>
      </x:c>
      <x:c r="S24" s="23" t="str">
        <x:v>Égalité de fréquence; prix provisoire basé sur le palier le plus élevé. Very Rare aligné sur le palier Super Rare (provisoire).</x:v>
      </x:c>
      <x:c r="T24" s="23" t="str">
        <x:v>https://pixelmonmod.com/wiki/Raticate</x:v>
      </x:c>
    </x:row>
    <x:row r="25" ht="54" customHeight="1">
      <x:c r="A25" s="27" t="n">
        <x:v>21</x:v>
      </x:c>
      <x:c r="B25" s="23" t="str">
        <x:v>Piafabec</x:v>
      </x:c>
      <x:c r="C25" s="23" t="str">
        <x:v>Spearow</x:v>
      </x:c>
      <x:c r="D25" s="23" t="str">
        <x:v>Normal</x:v>
      </x:c>
      <x:c r="E25" s="23" t="str">
        <x:v>Vol</x:v>
      </x:c>
      <x:c r="F25" s="23" t="str">
        <x:v>Uncommon</x:v>
      </x:c>
      <x:c r="G25" s="45" t="n">
        <x:v>5000</x:v>
      </x:c>
      <x:c r="H25" s="45" t="n">
        <x:f>IF(G25="","",ROUNDUP(G25*3,0))</x:f>
        <x:v>15000</x:v>
      </x:c>
      <x:c r="I25" s="41" t="n">
        <x:v>1</x:v>
      </x:c>
      <x:c r="J25" s="42" t="n">
        <x:v>40</x:v>
      </x:c>
      <x:c r="K25" s="42" t="n">
        <x:v>60</x:v>
      </x:c>
      <x:c r="L25" s="42" t="n">
        <x:v>30</x:v>
      </x:c>
      <x:c r="M25" s="42" t="n">
        <x:v>31</x:v>
      </x:c>
      <x:c r="N25" s="42" t="n">
        <x:v>31</x:v>
      </x:c>
      <x:c r="O25" s="42" t="n">
        <x:v>70</x:v>
      </x:c>
      <x:c r="P25" s="43" t="n">
        <x:f>IF(COUNT(J25:O25)=0,"",SUM(J25:O25))</x:f>
        <x:v>262</x:v>
      </x:c>
      <x:c r="Q25" s="23" t="str">
        <x:v>12 lignes de spawn</x:v>
      </x:c>
      <x:c r="R25" s="23" t="str">
        <x:v>Le cri de Piafabec est si puissant qu'on peut l'entendre à près d'un kilomètre. S'il résonne tout autour, c'est qu'ils se préviennent d'un danger.</x:v>
      </x:c>
      <x:c r="S25" s="23" t="str"/>
      <x:c r="T25" s="23" t="str">
        <x:v>https://pixelmonmod.com/wiki/Spearow</x:v>
      </x:c>
    </x:row>
    <x:row r="26" ht="54" customHeight="1">
      <x:c r="A26" s="27" t="n">
        <x:v>22</x:v>
      </x:c>
      <x:c r="B26" s="23" t="str">
        <x:v>Rapasdepic</x:v>
      </x:c>
      <x:c r="C26" s="23" t="str">
        <x:v>Fearow</x:v>
      </x:c>
      <x:c r="D26" s="23" t="str">
        <x:v>Normal</x:v>
      </x:c>
      <x:c r="E26" s="23" t="str">
        <x:v>Vol</x:v>
      </x:c>
      <x:c r="F26" s="23" t="str">
        <x:v>Rare / Ultra Rare</x:v>
      </x:c>
      <x:c r="G26" s="45" t="n">
        <x:v>75000</x:v>
      </x:c>
      <x:c r="H26" s="45" t="n">
        <x:f>IF(G26="","",ROUNDUP(G26*3,0))</x:f>
        <x:v>225000</x:v>
      </x:c>
      <x:c r="I26" s="41" t="n">
        <x:v>0.5</x:v>
      </x:c>
      <x:c r="J26" s="42" t="n">
        <x:v>65</x:v>
      </x:c>
      <x:c r="K26" s="42" t="n">
        <x:v>90</x:v>
      </x:c>
      <x:c r="L26" s="42" t="n">
        <x:v>65</x:v>
      </x:c>
      <x:c r="M26" s="42" t="n">
        <x:v>61</x:v>
      </x:c>
      <x:c r="N26" s="42" t="n">
        <x:v>61</x:v>
      </x:c>
      <x:c r="O26" s="42" t="n">
        <x:v>100</x:v>
      </x:c>
      <x:c r="P26" s="43" t="n">
        <x:f>IF(COUNT(J26:O26)=0,"",SUM(J26:O26))</x:f>
        <x:v>442</x:v>
      </x:c>
      <x:c r="Q26" s="23" t="str">
        <x:v>12 lignes de spawn</x:v>
      </x:c>
      <x:c r="R26" s="23" t="str">
        <x:v>Rapasdepic se reconnaît à son long cou et son bec allongé, pratiques pour attraper des proies dans le sol ou l'eau. Il manie habilement son bec fin pour saisir ses proies.</x:v>
      </x:c>
      <x:c r="S26" s="23" t="str">
        <x:v>Égalité de fréquence; prix provisoire basé sur le palier le plus élevé.</x:v>
      </x:c>
      <x:c r="T26" s="23" t="str">
        <x:v>https://pixelmonmod.com/wiki/Fearow</x:v>
      </x:c>
    </x:row>
    <x:row r="27" ht="54" customHeight="1">
      <x:c r="A27" s="27" t="n">
        <x:v>23</x:v>
      </x:c>
      <x:c r="B27" s="23" t="str">
        <x:v>Abo</x:v>
      </x:c>
      <x:c r="C27" s="23" t="str">
        <x:v>Ekans</x:v>
      </x:c>
      <x:c r="D27" s="23" t="str">
        <x:v>Poison</x:v>
      </x:c>
      <x:c r="E27" s="23" t="str"/>
      <x:c r="F27" s="23" t="str">
        <x:v>Common</x:v>
      </x:c>
      <x:c r="G27" s="45" t="n">
        <x:v>2000</x:v>
      </x:c>
      <x:c r="H27" s="45" t="n">
        <x:f>IF(G27="","",ROUNDUP(G27*3,0))</x:f>
        <x:v>6000</x:v>
      </x:c>
      <x:c r="I27" s="41" t="n">
        <x:v>0.6920000000000001</x:v>
      </x:c>
      <x:c r="J27" s="42" t="n">
        <x:v>35</x:v>
      </x:c>
      <x:c r="K27" s="42" t="n">
        <x:v>60</x:v>
      </x:c>
      <x:c r="L27" s="42" t="n">
        <x:v>44</x:v>
      </x:c>
      <x:c r="M27" s="42" t="n">
        <x:v>40</x:v>
      </x:c>
      <x:c r="N27" s="42" t="n">
        <x:v>54</x:v>
      </x:c>
      <x:c r="O27" s="42" t="n">
        <x:v>55</x:v>
      </x:c>
      <x:c r="P27" s="43" t="n">
        <x:f>IF(COUNT(J27:O27)=0,"",SUM(J27:O27))</x:f>
        <x:v>288</x:v>
      </x:c>
      <x:c r="Q27" s="23" t="str">
        <x:v>13 lignes de spawn</x:v>
      </x:c>
      <x:c r="R27" s="23" t="str">
        <x:v>Abo s'enroule en spirale pour se reposer. Cette position lui permet de réagir rapidement à toute menace grâce au regard menaçant de sa tête relevée.</x:v>
      </x:c>
      <x:c r="S27" s="23" t="str"/>
      <x:c r="T27" s="23" t="str">
        <x:v>https://pixelmonmod.com/wiki/Ekans</x:v>
      </x:c>
    </x:row>
    <x:row r="28" ht="54" customHeight="1">
      <x:c r="A28" s="27" t="n">
        <x:v>24</x:v>
      </x:c>
      <x:c r="B28" s="23" t="str">
        <x:v>Arbok</x:v>
      </x:c>
      <x:c r="C28" s="23" t="str">
        <x:v>Arbok</x:v>
      </x:c>
      <x:c r="D28" s="23" t="str">
        <x:v>Poison</x:v>
      </x:c>
      <x:c r="E28" s="23" t="str"/>
      <x:c r="F28" s="23" t="str">
        <x:v>Ultra Rare</x:v>
      </x:c>
      <x:c r="G28" s="45" t="n">
        <x:v>75000</x:v>
      </x:c>
      <x:c r="H28" s="45" t="n">
        <x:f>IF(G28="","",ROUNDUP(G28*3,0))</x:f>
        <x:v>225000</x:v>
      </x:c>
      <x:c r="I28" s="41" t="n">
        <x:v>0.846</x:v>
      </x:c>
      <x:c r="J28" s="42" t="n">
        <x:v>60</x:v>
      </x:c>
      <x:c r="K28" s="42" t="n">
        <x:v>95</x:v>
      </x:c>
      <x:c r="L28" s="42" t="n">
        <x:v>69</x:v>
      </x:c>
      <x:c r="M28" s="42" t="n">
        <x:v>65</x:v>
      </x:c>
      <x:c r="N28" s="42" t="n">
        <x:v>79</x:v>
      </x:c>
      <x:c r="O28" s="42" t="n">
        <x:v>80</x:v>
      </x:c>
      <x:c r="P28" s="43" t="n">
        <x:f>IF(COUNT(J28:O28)=0,"",SUM(J28:O28))</x:f>
        <x:v>448</x:v>
      </x:c>
      <x:c r="Q28" s="23" t="str">
        <x:v>26 lignes de spawn</x:v>
      </x:c>
      <x:c r="R28" s="23" t="str">
        <x:v>Ce Pokémon possède une force terrifiante pour enserrer ses adversaires. Il peut même écraser des barils en acier. Une fois qu'Arbok emprisonne un ennemi dans ses anneaux, il est impossible de s'échapper.</x:v>
      </x:c>
      <x:c r="S28" s="23" t="str"/>
      <x:c r="T28" s="23" t="str">
        <x:v>https://pixelmonmod.com/wiki/Arbok</x:v>
      </x:c>
    </x:row>
    <x:row r="29" ht="54" customHeight="1">
      <x:c r="A29" s="27" t="n">
        <x:v>25</x:v>
      </x:c>
      <x:c r="B29" s="23" t="str">
        <x:v>Pikachu</x:v>
      </x:c>
      <x:c r="C29" s="23" t="str">
        <x:v>Pikachu</x:v>
      </x:c>
      <x:c r="D29" s="23" t="str">
        <x:v>Électrik</x:v>
      </x:c>
      <x:c r="E29" s="23" t="str"/>
      <x:c r="F29" s="23" t="str">
        <x:v>Uncommon</x:v>
      </x:c>
      <x:c r="G29" s="45" t="n">
        <x:v>5000</x:v>
      </x:c>
      <x:c r="H29" s="45" t="n">
        <x:f>IF(G29="","",ROUNDUP(G29*3,0))</x:f>
        <x:v>15000</x:v>
      </x:c>
      <x:c r="I29" s="41" t="n">
        <x:v>0.667</x:v>
      </x:c>
      <x:c r="J29" s="42" t="n">
        <x:v>35</x:v>
      </x:c>
      <x:c r="K29" s="42" t="n">
        <x:v>55</x:v>
      </x:c>
      <x:c r="L29" s="42" t="n">
        <x:v>40</x:v>
      </x:c>
      <x:c r="M29" s="42" t="n">
        <x:v>50</x:v>
      </x:c>
      <x:c r="N29" s="42" t="n">
        <x:v>50</x:v>
      </x:c>
      <x:c r="O29" s="42" t="n">
        <x:v>90</x:v>
      </x:c>
      <x:c r="P29" s="43" t="n">
        <x:f>IF(COUNT(J29:O29)=0,"",SUM(J29:O29))</x:f>
        <x:v>320</x:v>
      </x:c>
      <x:c r="Q29" s="23" t="str">
        <x:v>3 lignes de spawn</x:v>
      </x:c>
      <x:c r="R29" s="23" t="str">
        <x:v>Quand Pikachu découvre quelque chose de nouveau, il envoie souvent une décharge électrique. Si vous trouvez une Baie noircie, c'est que ce Pokémon a mal évalué la puissance de son attaque.</x:v>
      </x:c>
      <x:c r="S29" s="23" t="str"/>
      <x:c r="T29" s="23" t="str">
        <x:v>https://pixelmonmod.com/wiki/Pikachu</x:v>
      </x:c>
    </x:row>
    <x:row r="30" ht="54" customHeight="1">
      <x:c r="A30" s="27" t="n">
        <x:v>26</x:v>
      </x:c>
      <x:c r="B30" s="23" t="str">
        <x:v>Raichu</x:v>
      </x:c>
      <x:c r="C30" s="23" t="str">
        <x:v>Raichu</x:v>
      </x:c>
      <x:c r="D30" s="23" t="str">
        <x:v>Électrik</x:v>
      </x:c>
      <x:c r="E30" s="23" t="str"/>
      <x:c r="F30" s="23" t="str">
        <x:v>Ultra Rare</x:v>
      </x:c>
      <x:c r="G30" s="45" t="n">
        <x:v>75000</x:v>
      </x:c>
      <x:c r="H30" s="45" t="n">
        <x:f>IF(G30="","",ROUNDUP(G30*3,0))</x:f>
        <x:v>225000</x:v>
      </x:c>
      <x:c r="I30" s="41" t="n">
        <x:v>1</x:v>
      </x:c>
      <x:c r="J30" s="42" t="n">
        <x:v>60</x:v>
      </x:c>
      <x:c r="K30" s="42" t="n">
        <x:v>90</x:v>
      </x:c>
      <x:c r="L30" s="42" t="n">
        <x:v>55</x:v>
      </x:c>
      <x:c r="M30" s="42" t="n">
        <x:v>90</x:v>
      </x:c>
      <x:c r="N30" s="42" t="n">
        <x:v>80</x:v>
      </x:c>
      <x:c r="O30" s="42" t="n">
        <x:v>110</x:v>
      </x:c>
      <x:c r="P30" s="43" t="n">
        <x:f>IF(COUNT(J30:O30)=0,"",SUM(J30:O30))</x:f>
        <x:v>485</x:v>
      </x:c>
      <x:c r="Q30" s="23" t="str">
        <x:v>10 lignes de spawn</x:v>
      </x:c>
      <x:c r="R30" s="23" t="str">
        <x:v>Si ses poches électriques accumulent trop d'énergie, Raichu plante sa queue dans le sol pour se décharger. On trouve souvent des traces de brûlure autour de son nid.</x:v>
      </x:c>
      <x:c r="S30" s="23" t="str"/>
      <x:c r="T30" s="23" t="str">
        <x:v>https://pixelmonmod.com/wiki/Raichu</x:v>
      </x:c>
    </x:row>
    <x:row r="31" ht="54" customHeight="1">
      <x:c r="A31" s="27" t="n">
        <x:v>27</x:v>
      </x:c>
      <x:c r="B31" s="23" t="str">
        <x:v>Sabelette</x:v>
      </x:c>
      <x:c r="C31" s="23" t="str">
        <x:v>Sandshrew</x:v>
      </x:c>
      <x:c r="D31" s="23" t="str">
        <x:v>Sol</x:v>
      </x:c>
      <x:c r="E31" s="23" t="str"/>
      <x:c r="F31" s="23" t="str">
        <x:v>Rare</x:v>
      </x:c>
      <x:c r="G31" s="45" t="n">
        <x:v>12000</x:v>
      </x:c>
      <x:c r="H31" s="45" t="n">
        <x:f>IF(G31="","",ROUNDUP(G31*3,0))</x:f>
        <x:v>36000</x:v>
      </x:c>
      <x:c r="I31" s="41" t="n">
        <x:v>0.667</x:v>
      </x:c>
      <x:c r="J31" s="42" t="n">
        <x:v>50</x:v>
      </x:c>
      <x:c r="K31" s="42" t="n">
        <x:v>75</x:v>
      </x:c>
      <x:c r="L31" s="42" t="n">
        <x:v>85</x:v>
      </x:c>
      <x:c r="M31" s="42" t="n">
        <x:v>20</x:v>
      </x:c>
      <x:c r="N31" s="42" t="n">
        <x:v>30</x:v>
      </x:c>
      <x:c r="O31" s="42" t="n">
        <x:v>40</x:v>
      </x:c>
      <x:c r="P31" s="43" t="n">
        <x:f>IF(COUNT(J31:O31)=0,"",SUM(J31:O31))</x:f>
        <x:v>300</x:v>
      </x:c>
      <x:c r="Q31" s="23" t="str">
        <x:v>12 lignes de spawn</x:v>
      </x:c>
      <x:c r="R31" s="23" t="str">
        <x:v>Le corps de Sabelette est conçu pour absorber l'eau sans aucune perte, ce qui lui permet de survivre dans le désert aride. Ce Pokémon se met en boule pour se protéger de ses ennemis.</x:v>
      </x:c>
      <x:c r="S31" s="23" t="str"/>
      <x:c r="T31" s="23" t="str">
        <x:v>https://pixelmonmod.com/wiki/Sandshrew</x:v>
      </x:c>
    </x:row>
    <x:row r="32" ht="54" customHeight="1">
      <x:c r="A32" s="27" t="n">
        <x:v>28</x:v>
      </x:c>
      <x:c r="B32" s="23" t="str">
        <x:v>Sablaireau</x:v>
      </x:c>
      <x:c r="C32" s="23" t="str">
        <x:v>Sandslash</x:v>
      </x:c>
      <x:c r="D32" s="23" t="str">
        <x:v>Sol</x:v>
      </x:c>
      <x:c r="E32" s="23" t="str"/>
      <x:c r="F32" s="23" t="str">
        <x:v>Ultra Rare</x:v>
      </x:c>
      <x:c r="G32" s="45" t="n">
        <x:v>75000</x:v>
      </x:c>
      <x:c r="H32" s="45" t="n">
        <x:f>IF(G32="","",ROUNDUP(G32*3,0))</x:f>
        <x:v>225000</x:v>
      </x:c>
      <x:c r="I32" s="41" t="n">
        <x:v>0.833</x:v>
      </x:c>
      <x:c r="J32" s="42" t="n">
        <x:v>75</x:v>
      </x:c>
      <x:c r="K32" s="42" t="n">
        <x:v>100</x:v>
      </x:c>
      <x:c r="L32" s="42" t="n">
        <x:v>110</x:v>
      </x:c>
      <x:c r="M32" s="42" t="n">
        <x:v>45</x:v>
      </x:c>
      <x:c r="N32" s="42" t="n">
        <x:v>55</x:v>
      </x:c>
      <x:c r="O32" s="42" t="n">
        <x:v>65</x:v>
      </x:c>
      <x:c r="P32" s="43" t="n">
        <x:f>IF(COUNT(J32:O32)=0,"",SUM(J32:O32))</x:f>
        <x:v>450</x:v>
      </x:c>
      <x:c r="Q32" s="23" t="str">
        <x:v>12 lignes de spawn</x:v>
      </x:c>
      <x:c r="R32" s="23" t="str">
        <x:v>Le corps de Sablaireau est recouvert de piques robustes, sections durcies de sa peau. Une fois par an, ses anciennes piques tombent pour laisser place à de nouvelles qui poussent dessous.</x:v>
      </x:c>
      <x:c r="S32" s="23" t="str"/>
      <x:c r="T32" s="23" t="str">
        <x:v>https://pixelmonmod.com/wiki/Sandslash</x:v>
      </x:c>
    </x:row>
    <x:row r="33" ht="54" customHeight="1">
      <x:c r="A33" s="27" t="n">
        <x:v>29</x:v>
      </x:c>
      <x:c r="B33" s="23" t="str">
        <x:v>Nidoran♀</x:v>
      </x:c>
      <x:c r="C33" s="23" t="str">
        <x:v>Nidoran♀</x:v>
      </x:c>
      <x:c r="D33" s="23" t="str">
        <x:v>Poison</x:v>
      </x:c>
      <x:c r="E33" s="23" t="str"/>
      <x:c r="F33" s="23" t="str">
        <x:v>Common / Ultra Rare</x:v>
      </x:c>
      <x:c r="G33" s="45" t="n">
        <x:v>75000</x:v>
      </x:c>
      <x:c r="H33" s="45" t="n">
        <x:f>IF(G33="","",ROUNDUP(G33*3,0))</x:f>
        <x:v>225000</x:v>
      </x:c>
      <x:c r="I33" s="41" t="n">
        <x:v>0.5</x:v>
      </x:c>
      <x:c r="J33" s="42" t="n">
        <x:v>55</x:v>
      </x:c>
      <x:c r="K33" s="42" t="n">
        <x:v>47</x:v>
      </x:c>
      <x:c r="L33" s="42" t="n">
        <x:v>52</x:v>
      </x:c>
      <x:c r="M33" s="42" t="n">
        <x:v>40</x:v>
      </x:c>
      <x:c r="N33" s="42" t="n">
        <x:v>40</x:v>
      </x:c>
      <x:c r="O33" s="42" t="n">
        <x:v>41</x:v>
      </x:c>
      <x:c r="P33" s="43" t="n">
        <x:f>IF(COUNT(J33:O33)=0,"",SUM(J33:O33))</x:f>
        <x:v>275</x:v>
      </x:c>
      <x:c r="Q33" s="23" t="str">
        <x:v>4 lignes de spawn</x:v>
      </x:c>
      <x:c r="R33" s="23" t="str">
        <x:v>Nidoran♀ possède des dards qui sécrètent un puissant poison. On pense qu'ils se sont développés pour protéger ce Pokémon au petit corps. Lorsqu'elle est en colère, elle libère une toxine horriblement dangereuse depuis sa corne.</x:v>
      </x:c>
      <x:c r="S33" s="23" t="str">
        <x:v>Égalité de fréquence; prix provisoire basé sur le palier le plus élevé.</x:v>
      </x:c>
      <x:c r="T33" s="23" t="str">
        <x:v>https://pixelmonmod.com/wiki/Nidoran%E2%99%80</x:v>
      </x:c>
    </x:row>
    <x:row r="34" ht="54" customHeight="1">
      <x:c r="A34" s="27" t="n">
        <x:v>30</x:v>
      </x:c>
      <x:c r="B34" s="23" t="str">
        <x:v>Nidorina</x:v>
      </x:c>
      <x:c r="C34" s="23" t="str">
        <x:v>Nidorina</x:v>
      </x:c>
      <x:c r="D34" s="23" t="str">
        <x:v>Poison</x:v>
      </x:c>
      <x:c r="E34" s="23" t="str"/>
      <x:c r="F34" s="23" t="str">
        <x:v>Ultra Rare</x:v>
      </x:c>
      <x:c r="G34" s="45" t="n">
        <x:v>75000</x:v>
      </x:c>
      <x:c r="H34" s="45" t="n">
        <x:f>IF(G34="","",ROUNDUP(G34*3,0))</x:f>
        <x:v>225000</x:v>
      </x:c>
      <x:c r="I34" s="41" t="n">
        <x:v>0.667</x:v>
      </x:c>
      <x:c r="J34" s="42" t="n">
        <x:v>70</x:v>
      </x:c>
      <x:c r="K34" s="42" t="n">
        <x:v>62</x:v>
      </x:c>
      <x:c r="L34" s="42" t="n">
        <x:v>67</x:v>
      </x:c>
      <x:c r="M34" s="42" t="n">
        <x:v>55</x:v>
      </x:c>
      <x:c r="N34" s="42" t="n">
        <x:v>55</x:v>
      </x:c>
      <x:c r="O34" s="42" t="n">
        <x:v>56</x:v>
      </x:c>
      <x:c r="P34" s="43" t="n">
        <x:f>IF(COUNT(J34:O34)=0,"",SUM(J34:O34))</x:f>
        <x:v>365</x:v>
      </x:c>
      <x:c r="Q34" s="23" t="str">
        <x:v>3 lignes de spawn</x:v>
      </x:c>
      <x:c r="R34" s="23" t="str">
        <x:v>Quand les Nidorina sont avec leurs amis ou leur famille, elles rentrent leurs dards pour éviter de se blesser mutuellement. Ce Pokémon semble devenir nerveux lorsqu'il est séparé des siens.</x:v>
      </x:c>
      <x:c r="S34" s="23" t="str"/>
      <x:c r="T34" s="23" t="str">
        <x:v>https://pixelmonmod.com/wiki/Nidorina</x:v>
      </x:c>
    </x:row>
    <x:row r="35" ht="54" customHeight="1">
      <x:c r="A35" s="27" t="n">
        <x:v>31</x:v>
      </x:c>
      <x:c r="B35" s="23" t="str">
        <x:v>Nidoqueen</x:v>
      </x:c>
      <x:c r="C35" s="23" t="str">
        <x:v>Nidoqueen</x:v>
      </x:c>
      <x:c r="D35" s="23" t="str">
        <x:v>Poison</x:v>
      </x:c>
      <x:c r="E35" s="23" t="str">
        <x:v>Sol</x:v>
      </x:c>
      <x:c r="F35" s="23" t="str">
        <x:v>Ultra Rare</x:v>
      </x:c>
      <x:c r="G35" s="45" t="n">
        <x:v>75000</x:v>
      </x:c>
      <x:c r="H35" s="45" t="n">
        <x:f>IF(G35="","",ROUNDUP(G35*3,0))</x:f>
        <x:v>225000</x:v>
      </x:c>
      <x:c r="I35" s="41" t="n">
        <x:v>1</x:v>
      </x:c>
      <x:c r="J35" s="42" t="n">
        <x:v>90</x:v>
      </x:c>
      <x:c r="K35" s="42" t="n">
        <x:v>92</x:v>
      </x:c>
      <x:c r="L35" s="42" t="n">
        <x:v>87</x:v>
      </x:c>
      <x:c r="M35" s="42" t="n">
        <x:v>75</x:v>
      </x:c>
      <x:c r="N35" s="42" t="n">
        <x:v>85</x:v>
      </x:c>
      <x:c r="O35" s="42" t="n">
        <x:v>76</x:v>
      </x:c>
      <x:c r="P35" s="43" t="n">
        <x:f>IF(COUNT(J35:O35)=0,"",SUM(J35:O35))</x:f>
        <x:v>505</x:v>
      </x:c>
      <x:c r="Q35" s="23" t="str">
        <x:v>3 lignes de spawn</x:v>
      </x:c>
      <x:c r="R35" s="23" t="str">
        <x:v>Le corps de Nidoqueen est recouvert d'écailles extrêmement dures. Elle excelle à projeter ses adversaires d'un violent coup d'épaule. Ce Pokémon est au maximum de sa puissance lorsqu'il protège ses petits.</x:v>
      </x:c>
      <x:c r="S35" s="23" t="str"/>
      <x:c r="T35" s="23" t="str">
        <x:v>https://pixelmonmod.com/wiki/Nidoqueen</x:v>
      </x:c>
    </x:row>
    <x:row r="36" ht="54" customHeight="1">
      <x:c r="A36" s="27" t="n">
        <x:v>32</x:v>
      </x:c>
      <x:c r="B36" s="23" t="str">
        <x:v>Nidoran♂</x:v>
      </x:c>
      <x:c r="C36" s="23" t="str">
        <x:v>Nidoran♂</x:v>
      </x:c>
      <x:c r="D36" s="23" t="str">
        <x:v>Poison</x:v>
      </x:c>
      <x:c r="E36" s="23" t="str"/>
      <x:c r="F36" s="23" t="str">
        <x:v>Common / Ultra Rare</x:v>
      </x:c>
      <x:c r="G36" s="45" t="n">
        <x:v>75000</x:v>
      </x:c>
      <x:c r="H36" s="45" t="n">
        <x:f>IF(G36="","",ROUNDUP(G36*3,0))</x:f>
        <x:v>225000</x:v>
      </x:c>
      <x:c r="I36" s="41" t="n">
        <x:v>0.5</x:v>
      </x:c>
      <x:c r="J36" s="42" t="n">
        <x:v>46</x:v>
      </x:c>
      <x:c r="K36" s="42" t="n">
        <x:v>57</x:v>
      </x:c>
      <x:c r="L36" s="42" t="n">
        <x:v>40</x:v>
      </x:c>
      <x:c r="M36" s="42" t="n">
        <x:v>40</x:v>
      </x:c>
      <x:c r="N36" s="42" t="n">
        <x:v>40</x:v>
      </x:c>
      <x:c r="O36" s="42" t="n">
        <x:v>50</x:v>
      </x:c>
      <x:c r="P36" s="43" t="n">
        <x:f>IF(COUNT(J36:O36)=0,"",SUM(J36:O36))</x:f>
        <x:v>273</x:v>
      </x:c>
      <x:c r="Q36" s="23" t="str">
        <x:v>4 lignes de spawn</x:v>
      </x:c>
      <x:c r="R36" s="23" t="str">
        <x:v>Nidoran♂ a développé des muscles lui permettant de bouger ses oreilles. Grâce à eux, il peut les orienter dans n'importe quelle direction. Le moindre son ne lui échappe pas.</x:v>
      </x:c>
      <x:c r="S36" s="23" t="str">
        <x:v>Égalité de fréquence; prix provisoire basé sur le palier le plus élevé.</x:v>
      </x:c>
      <x:c r="T36" s="23" t="str">
        <x:v>https://pixelmonmod.com/wiki/Nidoran%E2%99%82</x:v>
      </x:c>
    </x:row>
    <x:row r="37" ht="54" customHeight="1">
      <x:c r="A37" s="27" t="n">
        <x:v>33</x:v>
      </x:c>
      <x:c r="B37" s="23" t="str">
        <x:v>Nidorino</x:v>
      </x:c>
      <x:c r="C37" s="23" t="str">
        <x:v>Nidorino</x:v>
      </x:c>
      <x:c r="D37" s="23" t="str">
        <x:v>Poison</x:v>
      </x:c>
      <x:c r="E37" s="23" t="str"/>
      <x:c r="F37" s="23" t="str">
        <x:v>Ultra Rare</x:v>
      </x:c>
      <x:c r="G37" s="45" t="n">
        <x:v>75000</x:v>
      </x:c>
      <x:c r="H37" s="45" t="n">
        <x:f>IF(G37="","",ROUNDUP(G37*3,0))</x:f>
        <x:v>225000</x:v>
      </x:c>
      <x:c r="I37" s="41" t="n">
        <x:v>0.667</x:v>
      </x:c>
      <x:c r="J37" s="42" t="n">
        <x:v>61</x:v>
      </x:c>
      <x:c r="K37" s="42" t="n">
        <x:v>72</x:v>
      </x:c>
      <x:c r="L37" s="42" t="n">
        <x:v>57</x:v>
      </x:c>
      <x:c r="M37" s="42" t="n">
        <x:v>55</x:v>
      </x:c>
      <x:c r="N37" s="42" t="n">
        <x:v>55</x:v>
      </x:c>
      <x:c r="O37" s="42" t="n">
        <x:v>65</x:v>
      </x:c>
      <x:c r="P37" s="43" t="n">
        <x:f>IF(COUNT(J37:O37)=0,"",SUM(J37:O37))</x:f>
        <x:v>365</x:v>
      </x:c>
      <x:c r="Q37" s="23" t="str">
        <x:v>3 lignes de spawn</x:v>
      </x:c>
      <x:c r="R37" s="23" t="str">
        <x:v>La corne de Nidorino est plus dure qu'un diamant. Lorsqu'il perçoit une présence hostile, tous les dards sur son dos se hérissent et il défie l'ennemi de toutes ses forces.</x:v>
      </x:c>
      <x:c r="S37" s="23" t="str"/>
      <x:c r="T37" s="23" t="str">
        <x:v>https://pixelmonmod.com/wiki/Nidorino</x:v>
      </x:c>
    </x:row>
    <x:row r="38" ht="54" customHeight="1">
      <x:c r="A38" s="27" t="n">
        <x:v>34</x:v>
      </x:c>
      <x:c r="B38" s="23" t="str">
        <x:v>Nidoking</x:v>
      </x:c>
      <x:c r="C38" s="23" t="str">
        <x:v>Nidoking</x:v>
      </x:c>
      <x:c r="D38" s="23" t="str">
        <x:v>Poison</x:v>
      </x:c>
      <x:c r="E38" s="23" t="str">
        <x:v>Sol</x:v>
      </x:c>
      <x:c r="F38" s="23" t="str">
        <x:v>Ultra Rare</x:v>
      </x:c>
      <x:c r="G38" s="45" t="n">
        <x:v>75000</x:v>
      </x:c>
      <x:c r="H38" s="45" t="n">
        <x:f>IF(G38="","",ROUNDUP(G38*3,0))</x:f>
        <x:v>225000</x:v>
      </x:c>
      <x:c r="I38" s="41" t="n">
        <x:v>1</x:v>
      </x:c>
      <x:c r="J38" s="42" t="n">
        <x:v>81</x:v>
      </x:c>
      <x:c r="K38" s="42" t="n">
        <x:v>102</x:v>
      </x:c>
      <x:c r="L38" s="42" t="n">
        <x:v>77</x:v>
      </x:c>
      <x:c r="M38" s="42" t="n">
        <x:v>85</x:v>
      </x:c>
      <x:c r="N38" s="42" t="n">
        <x:v>75</x:v>
      </x:c>
      <x:c r="O38" s="42" t="n">
        <x:v>85</x:v>
      </x:c>
      <x:c r="P38" s="43" t="n">
        <x:f>IF(COUNT(J38:O38)=0,"",SUM(J38:O38))</x:f>
        <x:v>505</x:v>
      </x:c>
      <x:c r="Q38" s="23" t="str">
        <x:v>3 lignes de spawn</x:v>
      </x:c>
      <x:c r="R38" s="23" t="str">
        <x:v>La queue épaisse de Nidoking possède une force destructrice immense. D'un seul coup, il peut faire tomber une tour métallique. Une fois ce Pokémon déchaîné, rien ne peut l'arrêter.</x:v>
      </x:c>
      <x:c r="S38" s="23" t="str"/>
      <x:c r="T38" s="23" t="str">
        <x:v>https://pixelmonmod.com/wiki/Nidoking</x:v>
      </x:c>
    </x:row>
    <x:row r="39" ht="54" customHeight="1">
      <x:c r="A39" s="27" t="n">
        <x:v>35</x:v>
      </x:c>
      <x:c r="B39" s="23" t="str">
        <x:v>Mélofée</x:v>
      </x:c>
      <x:c r="C39" s="23" t="str">
        <x:v>Clefairy</x:v>
      </x:c>
      <x:c r="D39" s="23" t="str">
        <x:v>Fée</x:v>
      </x:c>
      <x:c r="E39" s="23" t="str"/>
      <x:c r="F39" s="23" t="str">
        <x:v>Ultra Rare</x:v>
      </x:c>
      <x:c r="G39" s="45" t="n">
        <x:v>75000</x:v>
      </x:c>
      <x:c r="H39" s="45" t="n">
        <x:f>IF(G39="","",ROUNDUP(G39*3,0))</x:f>
        <x:v>225000</x:v>
      </x:c>
      <x:c r="I39" s="41" t="n">
        <x:v>0.75</x:v>
      </x:c>
      <x:c r="J39" s="42" t="n">
        <x:v>70</x:v>
      </x:c>
      <x:c r="K39" s="42" t="n">
        <x:v>45</x:v>
      </x:c>
      <x:c r="L39" s="42" t="n">
        <x:v>48</x:v>
      </x:c>
      <x:c r="M39" s="42" t="n">
        <x:v>60</x:v>
      </x:c>
      <x:c r="N39" s="42" t="n">
        <x:v>65</x:v>
      </x:c>
      <x:c r="O39" s="42" t="n">
        <x:v>35</x:v>
      </x:c>
      <x:c r="P39" s="43" t="n">
        <x:f>IF(COUNT(J39:O39)=0,"",SUM(J39:O39))</x:f>
        <x:v>323</x:v>
      </x:c>
      <x:c r="Q39" s="23" t="str">
        <x:v>4 lignes de spawn</x:v>
      </x:c>
      <x:c r="R39" s="23" t="str">
        <x:v>Chaque nuit de pleine lune, des groupes de ce Pokémon sortent jouer. À l'aube, les Mélofée fatigués rentrent dans leurs refuges montagneux et dorment blottis les uns contre les autres.</x:v>
      </x:c>
      <x:c r="S39" s="23" t="str"/>
      <x:c r="T39" s="23" t="str">
        <x:v>https://pixelmonmod.com/wiki/Clefairy</x:v>
      </x:c>
    </x:row>
    <x:row r="40" ht="54" customHeight="1">
      <x:c r="A40" s="27" t="n">
        <x:v>36</x:v>
      </x:c>
      <x:c r="B40" s="23" t="str">
        <x:v>Mélodelfe</x:v>
      </x:c>
      <x:c r="C40" s="23" t="str">
        <x:v>Clefable</x:v>
      </x:c>
      <x:c r="D40" s="23" t="str">
        <x:v>Fée</x:v>
      </x:c>
      <x:c r="E40" s="23" t="str"/>
      <x:c r="F40" s="23" t="str">
        <x:v>Ultra Rare</x:v>
      </x:c>
      <x:c r="G40" s="45" t="n">
        <x:v>75000</x:v>
      </x:c>
      <x:c r="H40" s="45" t="n">
        <x:f>IF(G40="","",ROUNDUP(G40*3,0))</x:f>
        <x:v>225000</x:v>
      </x:c>
      <x:c r="I40" s="41" t="n">
        <x:v>1</x:v>
      </x:c>
      <x:c r="J40" s="42" t="n">
        <x:v>95</x:v>
      </x:c>
      <x:c r="K40" s="42" t="n">
        <x:v>70</x:v>
      </x:c>
      <x:c r="L40" s="42" t="n">
        <x:v>73</x:v>
      </x:c>
      <x:c r="M40" s="42" t="n">
        <x:v>95</x:v>
      </x:c>
      <x:c r="N40" s="42" t="n">
        <x:v>90</x:v>
      </x:c>
      <x:c r="O40" s="42" t="n">
        <x:v>60</x:v>
      </x:c>
      <x:c r="P40" s="43" t="n">
        <x:f>IF(COUNT(J40:O40)=0,"",SUM(J40:O40))</x:f>
        <x:v>483</x:v>
      </x:c>
      <x:c r="Q40" s="23" t="str">
        <x:v>4 lignes de spawn</x:v>
      </x:c>
      <x:c r="R40" s="23" t="str">
        <x:v>Mélodelfe se déplace en sautillant légèrement, comme s'il volait grâce à ses ailes. Ses pas rebondis lui permettent même de marcher sur l'eau. On le voit parfois se promener sur les lacs lors des nuits calmes et éclairées par la lune.</x:v>
      </x:c>
      <x:c r="S40" s="23" t="str"/>
      <x:c r="T40" s="23" t="str">
        <x:v>https://pixelmonmod.com/wiki/Clefable</x:v>
      </x:c>
    </x:row>
    <x:row r="41" ht="54" customHeight="1">
      <x:c r="A41" s="27" t="n">
        <x:v>37</x:v>
      </x:c>
      <x:c r="B41" s="23" t="str">
        <x:v>Goupix</x:v>
      </x:c>
      <x:c r="C41" s="23" t="str">
        <x:v>Vulpix</x:v>
      </x:c>
      <x:c r="D41" s="23" t="str">
        <x:v>Feu</x:v>
      </x:c>
      <x:c r="E41" s="23" t="str"/>
      <x:c r="F41" s="23" t="str">
        <x:v>Uncommon</x:v>
      </x:c>
      <x:c r="G41" s="45" t="n">
        <x:v>5000</x:v>
      </x:c>
      <x:c r="H41" s="45" t="n">
        <x:f>IF(G41="","",ROUNDUP(G41*3,0))</x:f>
        <x:v>15000</x:v>
      </x:c>
      <x:c r="I41" s="41" t="n">
        <x:v>0.667</x:v>
      </x:c>
      <x:c r="J41" s="42" t="n">
        <x:v>38</x:v>
      </x:c>
      <x:c r="K41" s="42" t="n">
        <x:v>41</x:v>
      </x:c>
      <x:c r="L41" s="42" t="n">
        <x:v>40</x:v>
      </x:c>
      <x:c r="M41" s="42" t="n">
        <x:v>50</x:v>
      </x:c>
      <x:c r="N41" s="42" t="n">
        <x:v>65</x:v>
      </x:c>
      <x:c r="O41" s="42" t="n">
        <x:v>65</x:v>
      </x:c>
      <x:c r="P41" s="43" t="n">
        <x:f>IF(COUNT(J41:O41)=0,"",SUM(J41:O41))</x:f>
        <x:v>299</x:v>
      </x:c>
      <x:c r="Q41" s="23" t="str">
        <x:v>9 lignes de spawn</x:v>
      </x:c>
      <x:c r="R41" s="23" t="str">
        <x:v>À sa naissance, Goupix n'a qu'une seule queue blanche. Si ce Pokémon reçoit beaucoup d'affection, sa queue se divise en six. Ces six queues s'enroulent alors magnifiquement.</x:v>
      </x:c>
      <x:c r="S41" s="23" t="str"/>
      <x:c r="T41" s="23" t="str">
        <x:v>https://pixelmonmod.com/wiki/Vulpix</x:v>
      </x:c>
    </x:row>
    <x:row r="42" ht="54" customHeight="1">
      <x:c r="A42" s="27" t="n">
        <x:v>38</x:v>
      </x:c>
      <x:c r="B42" s="23" t="str">
        <x:v>Feunard</x:v>
      </x:c>
      <x:c r="C42" s="23" t="str">
        <x:v>Ninetales</x:v>
      </x:c>
      <x:c r="D42" s="23" t="str">
        <x:v>Feu</x:v>
      </x:c>
      <x:c r="E42" s="23" t="str"/>
      <x:c r="F42" s="23" t="str">
        <x:v>Ultra Rare</x:v>
      </x:c>
      <x:c r="G42" s="45" t="n">
        <x:v>75000</x:v>
      </x:c>
      <x:c r="H42" s="45" t="n">
        <x:f>IF(G42="","",ROUNDUP(G42*3,0))</x:f>
        <x:v>225000</x:v>
      </x:c>
      <x:c r="I42" s="41" t="n">
        <x:v>1</x:v>
      </x:c>
      <x:c r="J42" s="42" t="n">
        <x:v>73</x:v>
      </x:c>
      <x:c r="K42" s="42" t="n">
        <x:v>76</x:v>
      </x:c>
      <x:c r="L42" s="42" t="n">
        <x:v>75</x:v>
      </x:c>
      <x:c r="M42" s="42" t="n">
        <x:v>81</x:v>
      </x:c>
      <x:c r="N42" s="42" t="n">
        <x:v>100</x:v>
      </x:c>
      <x:c r="O42" s="42" t="n">
        <x:v>100</x:v>
      </x:c>
      <x:c r="P42" s="43" t="n">
        <x:f>IF(COUNT(J42:O42)=0,"",SUM(J42:O42))</x:f>
        <x:v>505</x:v>
      </x:c>
      <x:c r="Q42" s="23" t="str">
        <x:v>9 lignes de spawn</x:v>
      </x:c>
      <x:c r="R42" s="23" t="str">
        <x:v>Feunard projette une lueur sinistre de ses yeux rouges pour prendre totalement le contrôle de l'esprit de son ennemi. On dit que ce Pokémon peut vivre mille ans.</x:v>
      </x:c>
      <x:c r="S42" s="23" t="str"/>
      <x:c r="T42" s="23" t="str">
        <x:v>https://pixelmonmod.com/wiki/Ninetales</x:v>
      </x:c>
    </x:row>
    <x:row r="43" ht="54" customHeight="1">
      <x:c r="A43" s="27" t="n">
        <x:v>39</x:v>
      </x:c>
      <x:c r="B43" s="23" t="str">
        <x:v>Rondoudou</x:v>
      </x:c>
      <x:c r="C43" s="23" t="str">
        <x:v>Jigglypuff</x:v>
      </x:c>
      <x:c r="D43" s="23" t="str">
        <x:v>Normal</x:v>
      </x:c>
      <x:c r="E43" s="23" t="str">
        <x:v>Fée</x:v>
      </x:c>
      <x:c r="F43" s="23" t="str">
        <x:v>Ultra Rare</x:v>
      </x:c>
      <x:c r="G43" s="45" t="n">
        <x:v>75000</x:v>
      </x:c>
      <x:c r="H43" s="45" t="n">
        <x:f>IF(G43="","",ROUNDUP(G43*3,0))</x:f>
        <x:v>225000</x:v>
      </x:c>
      <x:c r="I43" s="41" t="n">
        <x:v>1</x:v>
      </x:c>
      <x:c r="J43" s="42" t="n">
        <x:v>115</x:v>
      </x:c>
      <x:c r="K43" s="42" t="n">
        <x:v>45</x:v>
      </x:c>
      <x:c r="L43" s="42" t="n">
        <x:v>20</x:v>
      </x:c>
      <x:c r="M43" s="42" t="n">
        <x:v>45</x:v>
      </x:c>
      <x:c r="N43" s="42" t="n">
        <x:v>25</x:v>
      </x:c>
      <x:c r="O43" s="42" t="n">
        <x:v>20</x:v>
      </x:c>
      <x:c r="P43" s="43" t="n">
        <x:f>IF(COUNT(J43:O43)=0,"",SUM(J43:O43))</x:f>
        <x:v>270</x:v>
      </x:c>
      <x:c r="Q43" s="23" t="str">
        <x:v>2 lignes de spawn</x:v>
      </x:c>
      <x:c r="R43" s="23" t="str">
        <x:v>Grâce à ses cordes vocales, Rondoudou peut ajuster librement la longueur d'onde de sa voix. Il s'en sert pour chanter à la fréquence idéale afin d'endormir ses ennemis.</x:v>
      </x:c>
      <x:c r="S43" s="23" t="str"/>
      <x:c r="T43" s="23" t="str">
        <x:v>https://pixelmonmod.com/wiki/Jigglypuff</x:v>
      </x:c>
    </x:row>
    <x:row r="44" ht="54" customHeight="1">
      <x:c r="A44" s="27" t="n">
        <x:v>40</x:v>
      </x:c>
      <x:c r="B44" s="23" t="str">
        <x:v>Grodoudou</x:v>
      </x:c>
      <x:c r="C44" s="23" t="str">
        <x:v>Wigglytuff</x:v>
      </x:c>
      <x:c r="D44" s="23" t="str">
        <x:v>Normal</x:v>
      </x:c>
      <x:c r="E44" s="23" t="str">
        <x:v>Fée</x:v>
      </x:c>
      <x:c r="F44" s="23" t="str">
        <x:v>Ultra Rare</x:v>
      </x:c>
      <x:c r="G44" s="45" t="n">
        <x:v>75000</x:v>
      </x:c>
      <x:c r="H44" s="45" t="n">
        <x:f>IF(G44="","",ROUNDUP(G44*3,0))</x:f>
        <x:v>225000</x:v>
      </x:c>
      <x:c r="I44" s="41" t="n">
        <x:v>1</x:v>
      </x:c>
      <x:c r="J44" s="42" t="n">
        <x:v>140</x:v>
      </x:c>
      <x:c r="K44" s="42" t="n">
        <x:v>70</x:v>
      </x:c>
      <x:c r="L44" s="42" t="n">
        <x:v>45</x:v>
      </x:c>
      <x:c r="M44" s="42" t="n">
        <x:v>85</x:v>
      </x:c>
      <x:c r="N44" s="42" t="n">
        <x:v>50</x:v>
      </x:c>
      <x:c r="O44" s="42" t="n">
        <x:v>45</x:v>
      </x:c>
      <x:c r="P44" s="43" t="n">
        <x:f>IF(COUNT(J44:O44)=0,"",SUM(J44:O44))</x:f>
        <x:v>435</x:v>
      </x:c>
      <x:c r="Q44" s="23" t="str">
        <x:v>2 lignes de spawn</x:v>
      </x:c>
      <x:c r="R44" s="23" t="str">
        <x:v>Grodoudou possède de grands yeux ronds semblables à des soucoupes. Leur surface est toujours couverte d'une fine couche de larmes. Si de la poussière pénètre dans ses yeux, elle en est aussitôt chassée.</x:v>
      </x:c>
      <x:c r="S44" s="23" t="str"/>
      <x:c r="T44" s="23" t="str">
        <x:v>https://pixelmonmod.com/wiki/Wigglytuff</x:v>
      </x:c>
    </x:row>
    <x:row r="45" ht="54" customHeight="1">
      <x:c r="A45" s="27" t="n">
        <x:v>41</x:v>
      </x:c>
      <x:c r="B45" s="23" t="str">
        <x:v>Nosferapti</x:v>
      </x:c>
      <x:c r="C45" s="23" t="str">
        <x:v>Zubat</x:v>
      </x:c>
      <x:c r="D45" s="23" t="str">
        <x:v>Poison</x:v>
      </x:c>
      <x:c r="E45" s="23" t="str">
        <x:v>Vol</x:v>
      </x:c>
      <x:c r="F45" s="23" t="str">
        <x:v>Uncommon</x:v>
      </x:c>
      <x:c r="G45" s="45" t="n">
        <x:v>5000</x:v>
      </x:c>
      <x:c r="H45" s="45" t="n">
        <x:f>IF(G45="","",ROUNDUP(G45*3,0))</x:f>
        <x:v>15000</x:v>
      </x:c>
      <x:c r="I45" s="41" t="n">
        <x:v>0.5</x:v>
      </x:c>
      <x:c r="J45" s="42" t="n">
        <x:v>40</x:v>
      </x:c>
      <x:c r="K45" s="42" t="n">
        <x:v>45</x:v>
      </x:c>
      <x:c r="L45" s="42" t="n">
        <x:v>35</x:v>
      </x:c>
      <x:c r="M45" s="42" t="n">
        <x:v>30</x:v>
      </x:c>
      <x:c r="N45" s="42" t="n">
        <x:v>40</x:v>
      </x:c>
      <x:c r="O45" s="42" t="n">
        <x:v>55</x:v>
      </x:c>
      <x:c r="P45" s="43" t="n">
        <x:f>IF(COUNT(J45:O45)=0,"",SUM(J45:O45))</x:f>
        <x:v>245</x:v>
      </x:c>
      <x:c r="Q45" s="23" t="str">
        <x:v>16 lignes de spawn</x:v>
      </x:c>
      <x:c r="R45" s="23" t="str">
        <x:v>Nosferapti reste immobile dans un endroit sombre durant les heures ensoleillées, car une exposition prolongée au soleil lui brûle légèrement le corps.</x:v>
      </x:c>
      <x:c r="S45" s="23" t="str"/>
      <x:c r="T45" s="23" t="str">
        <x:v>https://pixelmonmod.com/wiki/Zubat</x:v>
      </x:c>
    </x:row>
    <x:row r="46" ht="54" customHeight="1">
      <x:c r="A46" s="27" t="n">
        <x:v>42</x:v>
      </x:c>
      <x:c r="B46" s="23" t="str">
        <x:v>Nosferalto</x:v>
      </x:c>
      <x:c r="C46" s="23" t="str">
        <x:v>Golbat</x:v>
      </x:c>
      <x:c r="D46" s="23" t="str">
        <x:v>Poison</x:v>
      </x:c>
      <x:c r="E46" s="23" t="str">
        <x:v>Vol</x:v>
      </x:c>
      <x:c r="F46" s="23" t="str">
        <x:v>Rare</x:v>
      </x:c>
      <x:c r="G46" s="45" t="n">
        <x:v>12000</x:v>
      </x:c>
      <x:c r="H46" s="45" t="n">
        <x:f>IF(G46="","",ROUNDUP(G46*3,0))</x:f>
        <x:v>36000</x:v>
      </x:c>
      <x:c r="I46" s="41" t="n">
        <x:v>0.778</x:v>
      </x:c>
      <x:c r="J46" s="42" t="n">
        <x:v>75</x:v>
      </x:c>
      <x:c r="K46" s="42" t="n">
        <x:v>80</x:v>
      </x:c>
      <x:c r="L46" s="42" t="n">
        <x:v>70</x:v>
      </x:c>
      <x:c r="M46" s="42" t="n">
        <x:v>65</x:v>
      </x:c>
      <x:c r="N46" s="42" t="n">
        <x:v>75</x:v>
      </x:c>
      <x:c r="O46" s="42" t="n">
        <x:v>90</x:v>
      </x:c>
      <x:c r="P46" s="43" t="n">
        <x:f>IF(COUNT(J46:O46)=0,"",SUM(J46:O46))</x:f>
        <x:v>455</x:v>
      </x:c>
      <x:c r="Q46" s="23" t="str">
        <x:v>9 lignes de spawn</x:v>
      </x:c>
      <x:c r="R46" s="23" t="str">
        <x:v>Nosferalto adore boire le sang des êtres vivants. Il est particulièrement actif dans l'obscurité totale de la nuit. Ce Pokémon vole partout dans les cieux nocturnes à la recherche de sang frais.</x:v>
      </x:c>
      <x:c r="S46" s="23" t="str"/>
      <x:c r="T46" s="23" t="str">
        <x:v>https://pixelmonmod.com/wiki/Golbat</x:v>
      </x:c>
    </x:row>
    <x:row r="47" ht="54" customHeight="1">
      <x:c r="A47" s="27" t="n">
        <x:v>43</x:v>
      </x:c>
      <x:c r="B47" s="23" t="str">
        <x:v>Mystherbe</x:v>
      </x:c>
      <x:c r="C47" s="23" t="str">
        <x:v>Oddish</x:v>
      </x:c>
      <x:c r="D47" s="23" t="str">
        <x:v>Plante</x:v>
      </x:c>
      <x:c r="E47" s="23" t="str">
        <x:v>Poison</x:v>
      </x:c>
      <x:c r="F47" s="23" t="str">
        <x:v>Uncommon</x:v>
      </x:c>
      <x:c r="G47" s="45" t="n">
        <x:v>5000</x:v>
      </x:c>
      <x:c r="H47" s="45" t="n">
        <x:f>IF(G47="","",ROUNDUP(G47*3,0))</x:f>
        <x:v>15000</x:v>
      </x:c>
      <x:c r="I47" s="41" t="n">
        <x:v>0.7</x:v>
      </x:c>
      <x:c r="J47" s="42" t="n">
        <x:v>45</x:v>
      </x:c>
      <x:c r="K47" s="42" t="n">
        <x:v>50</x:v>
      </x:c>
      <x:c r="L47" s="42" t="n">
        <x:v>55</x:v>
      </x:c>
      <x:c r="M47" s="42" t="n">
        <x:v>75</x:v>
      </x:c>
      <x:c r="N47" s="42" t="n">
        <x:v>65</x:v>
      </x:c>
      <x:c r="O47" s="42" t="n">
        <x:v>30</x:v>
      </x:c>
      <x:c r="P47" s="43" t="n">
        <x:f>IF(COUNT(J47:O47)=0,"",SUM(J47:O47))</x:f>
        <x:v>320</x:v>
      </x:c>
      <x:c r="Q47" s="23" t="str">
        <x:v>10 lignes de spawn</x:v>
      </x:c>
      <x:c r="R47" s="23" t="str">
        <x:v>Durant la journée, Mystherbe s'enfouit dans la terre pour absorber les nutriments du sol avec tout son corps. Plus la terre est fertile, plus ses feuilles deviennent brillantes.</x:v>
      </x:c>
      <x:c r="S47" s="23" t="str"/>
      <x:c r="T47" s="23" t="str">
        <x:v>https://pixelmonmod.com/wiki/Oddish</x:v>
      </x:c>
    </x:row>
    <x:row r="48" ht="54" customHeight="1">
      <x:c r="A48" s="27" t="n">
        <x:v>44</x:v>
      </x:c>
      <x:c r="B48" s="23" t="str">
        <x:v>Ortide</x:v>
      </x:c>
      <x:c r="C48" s="23" t="str">
        <x:v>Gloom</x:v>
      </x:c>
      <x:c r="D48" s="23" t="str">
        <x:v>Plante</x:v>
      </x:c>
      <x:c r="E48" s="23" t="str">
        <x:v>Poison</x:v>
      </x:c>
      <x:c r="F48" s="23" t="str">
        <x:v>Ultra Rare</x:v>
      </x:c>
      <x:c r="G48" s="45" t="n">
        <x:v>75000</x:v>
      </x:c>
      <x:c r="H48" s="45" t="n">
        <x:f>IF(G48="","",ROUNDUP(G48*3,0))</x:f>
        <x:v>225000</x:v>
      </x:c>
      <x:c r="I48" s="41" t="n">
        <x:v>1</x:v>
      </x:c>
      <x:c r="J48" s="42" t="n">
        <x:v>60</x:v>
      </x:c>
      <x:c r="K48" s="42" t="n">
        <x:v>65</x:v>
      </x:c>
      <x:c r="L48" s="42" t="n">
        <x:v>70</x:v>
      </x:c>
      <x:c r="M48" s="42" t="n">
        <x:v>85</x:v>
      </x:c>
      <x:c r="N48" s="42" t="n">
        <x:v>75</x:v>
      </x:c>
      <x:c r="O48" s="42" t="n">
        <x:v>40</x:v>
      </x:c>
      <x:c r="P48" s="43" t="n">
        <x:f>IF(COUNT(J48:O48)=0,"",SUM(J48:O48))</x:f>
        <x:v>395</x:v>
      </x:c>
      <x:c r="Q48" s="23" t="str">
        <x:v>6 lignes de spawn</x:v>
      </x:c>
      <x:c r="R48" s="23" t="str">
        <x:v>Ortide dégage une puanteur infecte depuis le pistil de sa fleur. Face au danger, l'odeur empire. S'il se sent calme et en sécurité, il ne dégage pas sa puanteur habituelle.</x:v>
      </x:c>
      <x:c r="S48" s="23" t="str"/>
      <x:c r="T48" s="23" t="str">
        <x:v>https://pixelmonmod.com/wiki/Gloom</x:v>
      </x:c>
    </x:row>
    <x:row r="49" ht="54" customHeight="1">
      <x:c r="A49" s="27" t="n">
        <x:v>45</x:v>
      </x:c>
      <x:c r="B49" s="23" t="str">
        <x:v>Rafflesia</x:v>
      </x:c>
      <x:c r="C49" s="23" t="str">
        <x:v>Vileplume</x:v>
      </x:c>
      <x:c r="D49" s="23" t="str">
        <x:v>Plante</x:v>
      </x:c>
      <x:c r="E49" s="23" t="str">
        <x:v>Poison</x:v>
      </x:c>
      <x:c r="F49" s="23" t="str">
        <x:v>Ultra Rare</x:v>
      </x:c>
      <x:c r="G49" s="45" t="n">
        <x:v>75000</x:v>
      </x:c>
      <x:c r="H49" s="45" t="n">
        <x:f>IF(G49="","",ROUNDUP(G49*3,0))</x:f>
        <x:v>225000</x:v>
      </x:c>
      <x:c r="I49" s="41" t="n">
        <x:v>0.857</x:v>
      </x:c>
      <x:c r="J49" s="42" t="n">
        <x:v>75</x:v>
      </x:c>
      <x:c r="K49" s="42" t="n">
        <x:v>80</x:v>
      </x:c>
      <x:c r="L49" s="42" t="n">
        <x:v>85</x:v>
      </x:c>
      <x:c r="M49" s="42" t="n">
        <x:v>110</x:v>
      </x:c>
      <x:c r="N49" s="42" t="n">
        <x:v>90</x:v>
      </x:c>
      <x:c r="O49" s="42" t="n">
        <x:v>50</x:v>
      </x:c>
      <x:c r="P49" s="43" t="n">
        <x:f>IF(COUNT(J49:O49)=0,"",SUM(J49:O49))</x:f>
        <x:v>490</x:v>
      </x:c>
      <x:c r="Q49" s="23" t="str">
        <x:v>7 lignes de spawn</x:v>
      </x:c>
      <x:c r="R49" s="23" t="str">
        <x:v>Le pollen toxique de Rafflesia provoque des crises d'allergie atroces. Il est recommandé de ne jamais approcher de jolies fleurs en pleine jungle, aussi attirantes soient-elles.</x:v>
      </x:c>
      <x:c r="S49" s="23" t="str"/>
      <x:c r="T49" s="23" t="str">
        <x:v>https://pixelmonmod.com/wiki/Vileplume</x:v>
      </x:c>
    </x:row>
    <x:row r="50" ht="54" customHeight="1">
      <x:c r="A50" s="27" t="n">
        <x:v>46</x:v>
      </x:c>
      <x:c r="B50" s="23" t="str">
        <x:v>Paras</x:v>
      </x:c>
      <x:c r="C50" s="23" t="str">
        <x:v>Paras</x:v>
      </x:c>
      <x:c r="D50" s="23" t="str">
        <x:v>Insecte</x:v>
      </x:c>
      <x:c r="E50" s="23" t="str">
        <x:v>Plante</x:v>
      </x:c>
      <x:c r="F50" s="23" t="str">
        <x:v>Uncommon</x:v>
      </x:c>
      <x:c r="G50" s="45" t="n">
        <x:v>5000</x:v>
      </x:c>
      <x:c r="H50" s="45" t="n">
        <x:f>IF(G50="","",ROUNDUP(G50*3,0))</x:f>
        <x:v>15000</x:v>
      </x:c>
      <x:c r="I50" s="41" t="n">
        <x:v>0.556</x:v>
      </x:c>
      <x:c r="J50" s="42" t="n">
        <x:v>35</x:v>
      </x:c>
      <x:c r="K50" s="42" t="n">
        <x:v>70</x:v>
      </x:c>
      <x:c r="L50" s="42" t="n">
        <x:v>55</x:v>
      </x:c>
      <x:c r="M50" s="42" t="n">
        <x:v>45</x:v>
      </x:c>
      <x:c r="N50" s="42" t="n">
        <x:v>55</x:v>
      </x:c>
      <x:c r="O50" s="42" t="n">
        <x:v>25</x:v>
      </x:c>
      <x:c r="P50" s="43" t="n">
        <x:f>IF(COUNT(J50:O50)=0,"",SUM(J50:O50))</x:f>
        <x:v>285</x:v>
      </x:c>
      <x:c r="Q50" s="23" t="str">
        <x:v>9 lignes de spawn</x:v>
      </x:c>
      <x:c r="R50" s="23" t="str">
        <x:v>Des champignons parasites, appelés tochukaso, poussent sur son dos. Ils grossissent en tirant leurs nutriments de leur hôte, ce Pokémon Insecte. Ils sont très prisés comme médicament prolongeant la vie.</x:v>
      </x:c>
      <x:c r="S50" s="23" t="str"/>
      <x:c r="T50" s="23" t="str">
        <x:v>https://pixelmonmod.com/wiki/Paras</x:v>
      </x:c>
    </x:row>
    <x:row r="51" ht="54" customHeight="1">
      <x:c r="A51" s="27" t="n">
        <x:v>47</x:v>
      </x:c>
      <x:c r="B51" s="23" t="str">
        <x:v>Parasect</x:v>
      </x:c>
      <x:c r="C51" s="23" t="str">
        <x:v>Parasect</x:v>
      </x:c>
      <x:c r="D51" s="23" t="str">
        <x:v>Insecte</x:v>
      </x:c>
      <x:c r="E51" s="23" t="str">
        <x:v>Plante</x:v>
      </x:c>
      <x:c r="F51" s="23" t="str">
        <x:v>Ultra Rare</x:v>
      </x:c>
      <x:c r="G51" s="45" t="n">
        <x:v>75000</x:v>
      </x:c>
      <x:c r="H51" s="45" t="n">
        <x:f>IF(G51="","",ROUNDUP(G51*3,0))</x:f>
        <x:v>225000</x:v>
      </x:c>
      <x:c r="I51" s="41" t="n">
        <x:v>1</x:v>
      </x:c>
      <x:c r="J51" s="42" t="n">
        <x:v>60</x:v>
      </x:c>
      <x:c r="K51" s="42" t="n">
        <x:v>95</x:v>
      </x:c>
      <x:c r="L51" s="42" t="n">
        <x:v>80</x:v>
      </x:c>
      <x:c r="M51" s="42" t="n">
        <x:v>60</x:v>
      </x:c>
      <x:c r="N51" s="42" t="n">
        <x:v>80</x:v>
      </x:c>
      <x:c r="O51" s="42" t="n">
        <x:v>30</x:v>
      </x:c>
      <x:c r="P51" s="43" t="n">
        <x:f>IF(COUNT(J51:O51)=0,"",SUM(J51:O51))</x:f>
        <x:v>405</x:v>
      </x:c>
      <x:c r="Q51" s="23" t="str">
        <x:v>9 lignes de spawn</x:v>
      </x:c>
      <x:c r="R51" s="23" t="str">
        <x:v>Parasect infeste de grands arbres en masse et draine les nutriments du tronc et des racines. Quand l'arbre infesté meurt, ils passent tous en même temps sur un autre arbre.</x:v>
      </x:c>
      <x:c r="S51" s="23" t="str"/>
      <x:c r="T51" s="23" t="str">
        <x:v>https://pixelmonmod.com/wiki/Parasect</x:v>
      </x:c>
    </x:row>
    <x:row r="52" ht="54" customHeight="1">
      <x:c r="A52" s="27" t="n">
        <x:v>48</x:v>
      </x:c>
      <x:c r="B52" s="23" t="str">
        <x:v>Mimitoss</x:v>
      </x:c>
      <x:c r="C52" s="23" t="str">
        <x:v>Venonat</x:v>
      </x:c>
      <x:c r="D52" s="23" t="str">
        <x:v>Insecte</x:v>
      </x:c>
      <x:c r="E52" s="23" t="str">
        <x:v>Poison</x:v>
      </x:c>
      <x:c r="F52" s="23" t="str">
        <x:v>Uncommon</x:v>
      </x:c>
      <x:c r="G52" s="45" t="n">
        <x:v>5000</x:v>
      </x:c>
      <x:c r="H52" s="45" t="n">
        <x:f>IF(G52="","",ROUNDUP(G52*3,0))</x:f>
        <x:v>15000</x:v>
      </x:c>
      <x:c r="I52" s="41" t="n">
        <x:v>0.75</x:v>
      </x:c>
      <x:c r="J52" s="42" t="n">
        <x:v>60</x:v>
      </x:c>
      <x:c r="K52" s="42" t="n">
        <x:v>55</x:v>
      </x:c>
      <x:c r="L52" s="42" t="n">
        <x:v>50</x:v>
      </x:c>
      <x:c r="M52" s="42" t="n">
        <x:v>40</x:v>
      </x:c>
      <x:c r="N52" s="42" t="n">
        <x:v>55</x:v>
      </x:c>
      <x:c r="O52" s="42" t="n">
        <x:v>45</x:v>
      </x:c>
      <x:c r="P52" s="43" t="n">
        <x:f>IF(COUNT(J52:O52)=0,"",SUM(J52:O52))</x:f>
        <x:v>305</x:v>
      </x:c>
      <x:c r="Q52" s="23" t="str">
        <x:v>12 lignes de spawn</x:v>
      </x:c>
      <x:c r="R52" s="23" t="str">
        <x:v>On dit que Mimitoss a évolué avec une couche de poils fins et raides couvrant tout son corps pour le protéger. Ses grands yeux ne manquent jamais de repérer les proies les plus minuscules.</x:v>
      </x:c>
      <x:c r="S52" s="23" t="str"/>
      <x:c r="T52" s="23" t="str">
        <x:v>https://pixelmonmod.com/wiki/Venonat</x:v>
      </x:c>
    </x:row>
    <x:row r="53" ht="54" customHeight="1">
      <x:c r="A53" s="27" t="n">
        <x:v>49</x:v>
      </x:c>
      <x:c r="B53" s="23" t="str">
        <x:v>Aéromite</x:v>
      </x:c>
      <x:c r="C53" s="23" t="str">
        <x:v>Venomoth</x:v>
      </x:c>
      <x:c r="D53" s="23" t="str">
        <x:v>Insecte</x:v>
      </x:c>
      <x:c r="E53" s="23" t="str">
        <x:v>Poison</x:v>
      </x:c>
      <x:c r="F53" s="23" t="str">
        <x:v>Ultra Rare</x:v>
      </x:c>
      <x:c r="G53" s="45" t="n">
        <x:v>75000</x:v>
      </x:c>
      <x:c r="H53" s="45" t="n">
        <x:f>IF(G53="","",ROUNDUP(G53*3,0))</x:f>
        <x:v>225000</x:v>
      </x:c>
      <x:c r="I53" s="41" t="n">
        <x:v>1</x:v>
      </x:c>
      <x:c r="J53" s="42" t="n">
        <x:v>70</x:v>
      </x:c>
      <x:c r="K53" s="42" t="n">
        <x:v>65</x:v>
      </x:c>
      <x:c r="L53" s="42" t="n">
        <x:v>60</x:v>
      </x:c>
      <x:c r="M53" s="42" t="n">
        <x:v>90</x:v>
      </x:c>
      <x:c r="N53" s="42" t="n">
        <x:v>75</x:v>
      </x:c>
      <x:c r="O53" s="42" t="n">
        <x:v>90</x:v>
      </x:c>
      <x:c r="P53" s="43" t="n">
        <x:f>IF(COUNT(J53:O53)=0,"",SUM(J53:O53))</x:f>
        <x:v>450</x:v>
      </x:c>
      <x:c r="Q53" s="23" t="str">
        <x:v>12 lignes de spawn</x:v>
      </x:c>
      <x:c r="R53" s="23" t="str">
        <x:v>Aéromite est nocturne — il ne devient actif qu'une fois la nuit tombée. Ses proies favorites sont les petits insectes attirés par la lumière des lampadaires.</x:v>
      </x:c>
      <x:c r="S53" s="23" t="str"/>
      <x:c r="T53" s="23" t="str">
        <x:v>https://pixelmonmod.com/wiki/Venomoth</x:v>
      </x:c>
    </x:row>
    <x:row r="54" ht="54" customHeight="1">
      <x:c r="A54" s="27" t="n">
        <x:v>50</x:v>
      </x:c>
      <x:c r="B54" s="23" t="str">
        <x:v>Taupiqueur</x:v>
      </x:c>
      <x:c r="C54" s="23" t="str">
        <x:v>Diglett</x:v>
      </x:c>
      <x:c r="D54" s="23" t="str">
        <x:v>Sol</x:v>
      </x:c>
      <x:c r="E54" s="23" t="str"/>
      <x:c r="F54" s="23" t="str">
        <x:v>Rare</x:v>
      </x:c>
      <x:c r="G54" s="45" t="n">
        <x:v>12000</x:v>
      </x:c>
      <x:c r="H54" s="45" t="n">
        <x:f>IF(G54="","",ROUNDUP(G54*3,0))</x:f>
        <x:v>36000</x:v>
      </x:c>
      <x:c r="I54" s="41" t="n">
        <x:v>0.375</x:v>
      </x:c>
      <x:c r="J54" s="42" t="n">
        <x:v>10</x:v>
      </x:c>
      <x:c r="K54" s="42" t="n">
        <x:v>55</x:v>
      </x:c>
      <x:c r="L54" s="42" t="n">
        <x:v>25</x:v>
      </x:c>
      <x:c r="M54" s="42" t="n">
        <x:v>35</x:v>
      </x:c>
      <x:c r="N54" s="42" t="n">
        <x:v>45</x:v>
      </x:c>
      <x:c r="O54" s="42" t="n">
        <x:v>95</x:v>
      </x:c>
      <x:c r="P54" s="43" t="n">
        <x:f>IF(COUNT(J54:O54)=0,"",SUM(J54:O54))</x:f>
        <x:v>265</x:v>
      </x:c>
      <x:c r="Q54" s="23" t="str">
        <x:v>16 lignes de spawn</x:v>
      </x:c>
      <x:c r="R54" s="23" t="str">
        <x:v>On élève des Taupiqueur dans la plupart des fermes. La raison est simple : partout où ce Pokémon creuse, la terre devient parfaitement meuble, idéale pour les cultures. Elle est parfaite pour faire pousser de délicieux légumes.</x:v>
      </x:c>
      <x:c r="S54" s="23" t="str"/>
      <x:c r="T54" s="23" t="str">
        <x:v>https://pixelmonmod.com/wiki/Diglett</x:v>
      </x:c>
    </x:row>
    <x:row r="55" ht="54" customHeight="1">
      <x:c r="A55" s="27" t="n">
        <x:v>51</x:v>
      </x:c>
      <x:c r="B55" s="23" t="str">
        <x:v>Triopikeur</x:v>
      </x:c>
      <x:c r="C55" s="23" t="str">
        <x:v>Dugtrio</x:v>
      </x:c>
      <x:c r="D55" s="23" t="str">
        <x:v>Sol</x:v>
      </x:c>
      <x:c r="E55" s="23" t="str"/>
      <x:c r="F55" s="23" t="str">
        <x:v>Ultra Rare</x:v>
      </x:c>
      <x:c r="G55" s="45" t="n">
        <x:v>75000</x:v>
      </x:c>
      <x:c r="H55" s="45" t="n">
        <x:f>IF(G55="","",ROUNDUP(G55*3,0))</x:f>
        <x:v>225000</x:v>
      </x:c>
      <x:c r="I55" s="41" t="n">
        <x:v>0.643</x:v>
      </x:c>
      <x:c r="J55" s="42" t="n">
        <x:v>35</x:v>
      </x:c>
      <x:c r="K55" s="42" t="n">
        <x:v>100</x:v>
      </x:c>
      <x:c r="L55" s="42" t="n">
        <x:v>50</x:v>
      </x:c>
      <x:c r="M55" s="42" t="n">
        <x:v>50</x:v>
      </x:c>
      <x:c r="N55" s="42" t="n">
        <x:v>70</x:v>
      </x:c>
      <x:c r="O55" s="42" t="n">
        <x:v>120</x:v>
      </x:c>
      <x:c r="P55" s="43" t="n">
        <x:f>IF(COUNT(J55:O55)=0,"",SUM(J55:O55))</x:f>
        <x:v>425</x:v>
      </x:c>
      <x:c r="Q55" s="23" t="str">
        <x:v>14 lignes de spawn</x:v>
      </x:c>
      <x:c r="R55" s="23" t="str">
        <x:v>Triopikeur est en réalité des triplés issus d'un même corps. Chacun pense exactement comme les deux autres. Ils creusent sans relâche en parfaite coopération.</x:v>
      </x:c>
      <x:c r="S55" s="23" t="str"/>
      <x:c r="T55" s="23" t="str">
        <x:v>https://pixelmonmod.com/wiki/Dugtrio</x:v>
      </x:c>
    </x:row>
    <x:row r="56" ht="54" customHeight="1">
      <x:c r="A56" s="27" t="n">
        <x:v>52</x:v>
      </x:c>
      <x:c r="B56" s="23" t="str">
        <x:v>Miaouss</x:v>
      </x:c>
      <x:c r="C56" s="23" t="str">
        <x:v>Meowth</x:v>
      </x:c>
      <x:c r="D56" s="23" t="str">
        <x:v>Normal</x:v>
      </x:c>
      <x:c r="E56" s="23" t="str"/>
      <x:c r="F56" s="23" t="str">
        <x:v>Uncommon</x:v>
      </x:c>
      <x:c r="G56" s="45" t="n">
        <x:v>5000</x:v>
      </x:c>
      <x:c r="H56" s="45" t="n">
        <x:f>IF(G56="","",ROUNDUP(G56*3,0))</x:f>
        <x:v>15000</x:v>
      </x:c>
      <x:c r="I56" s="41" t="n">
        <x:v>0.5</x:v>
      </x:c>
      <x:c r="J56" s="42" t="n">
        <x:v>40</x:v>
      </x:c>
      <x:c r="K56" s="42" t="n">
        <x:v>45</x:v>
      </x:c>
      <x:c r="L56" s="42" t="n">
        <x:v>35</x:v>
      </x:c>
      <x:c r="M56" s="42" t="n">
        <x:v>40</x:v>
      </x:c>
      <x:c r="N56" s="42" t="n">
        <x:v>40</x:v>
      </x:c>
      <x:c r="O56" s="42" t="n">
        <x:v>90</x:v>
      </x:c>
      <x:c r="P56" s="43" t="n">
        <x:f>IF(COUNT(J56:O56)=0,"",SUM(J56:O56))</x:f>
        <x:v>290</x:v>
      </x:c>
      <x:c r="Q56" s="23" t="str">
        <x:v>4 lignes de spawn</x:v>
      </x:c>
      <x:c r="R56" s="23" t="str">
        <x:v>Miaouss rentre ses griffes acérées pour se déplacer en douce sans laisser la moindre trace compromettante. Pour une raison inconnue, il adore les pièces brillantes qui scintillent dans la lumière.</x:v>
      </x:c>
      <x:c r="S56" s="23" t="str"/>
      <x:c r="T56" s="23" t="str">
        <x:v>https://pixelmonmod.com/wiki/Meowth</x:v>
      </x:c>
    </x:row>
    <x:row r="57" ht="54" customHeight="1">
      <x:c r="A57" s="27" t="n">
        <x:v>53</x:v>
      </x:c>
      <x:c r="B57" s="23" t="str">
        <x:v>Persian</x:v>
      </x:c>
      <x:c r="C57" s="23" t="str">
        <x:v>Persian</x:v>
      </x:c>
      <x:c r="D57" s="23" t="str">
        <x:v>Normal</x:v>
      </x:c>
      <x:c r="E57" s="23" t="str"/>
      <x:c r="F57" s="23" t="str">
        <x:v>Very Rare / Ultra Rare</x:v>
      </x:c>
      <x:c r="G57" s="45" t="n">
        <x:v>75000</x:v>
      </x:c>
      <x:c r="H57" s="45" t="n">
        <x:f>IF(G57="","",ROUNDUP(G57*3,0))</x:f>
        <x:v>225000</x:v>
      </x:c>
      <x:c r="I57" s="41" t="n">
        <x:v>0.5</x:v>
      </x:c>
      <x:c r="J57" s="42" t="n">
        <x:v>65</x:v>
      </x:c>
      <x:c r="K57" s="42" t="n">
        <x:v>70</x:v>
      </x:c>
      <x:c r="L57" s="42" t="n">
        <x:v>60</x:v>
      </x:c>
      <x:c r="M57" s="42" t="n">
        <x:v>65</x:v>
      </x:c>
      <x:c r="N57" s="42" t="n">
        <x:v>65</x:v>
      </x:c>
      <x:c r="O57" s="42" t="n">
        <x:v>115</x:v>
      </x:c>
      <x:c r="P57" s="43" t="n">
        <x:f>IF(COUNT(J57:O57)=0,"",SUM(J57:O57))</x:f>
        <x:v>440</x:v>
      </x:c>
      <x:c r="Q57" s="23" t="str">
        <x:v>2 lignes de spawn</x:v>
      </x:c>
      <x:c r="R57" s="23" t="str">
        <x:v>Persian possède six vibrisses proéminentes qui lui donnent une allure robuste. Elles détectent les mouvements de l'air pour repérer ce qui l'entoure. Il devient docile si l'on saisit ses moustaches.</x:v>
      </x:c>
      <x:c r="S57" s="23" t="str">
        <x:v>Égalité de fréquence; prix provisoire basé sur le palier le plus élevé. Very Rare aligné sur le palier Super Rare (provisoire).</x:v>
      </x:c>
      <x:c r="T57" s="23" t="str">
        <x:v>https://pixelmonmod.com/wiki/Persian</x:v>
      </x:c>
    </x:row>
    <x:row r="58" ht="54" customHeight="1">
      <x:c r="A58" s="27" t="n">
        <x:v>54</x:v>
      </x:c>
      <x:c r="B58" s="23" t="str">
        <x:v>Psykokwak</x:v>
      </x:c>
      <x:c r="C58" s="23" t="str">
        <x:v>Psyduck</x:v>
      </x:c>
      <x:c r="D58" s="23" t="str">
        <x:v>Eau</x:v>
      </x:c>
      <x:c r="E58" s="23" t="str"/>
      <x:c r="F58" s="23" t="str">
        <x:v>Uncommon</x:v>
      </x:c>
      <x:c r="G58" s="45" t="n">
        <x:v>5000</x:v>
      </x:c>
      <x:c r="H58" s="45" t="n">
        <x:f>IF(G58="","",ROUNDUP(G58*3,0))</x:f>
        <x:v>15000</x:v>
      </x:c>
      <x:c r="I58" s="41" t="n">
        <x:v>1</x:v>
      </x:c>
      <x:c r="J58" s="42" t="n">
        <x:v>50</x:v>
      </x:c>
      <x:c r="K58" s="42" t="n">
        <x:v>52</x:v>
      </x:c>
      <x:c r="L58" s="42" t="n">
        <x:v>48</x:v>
      </x:c>
      <x:c r="M58" s="42" t="n">
        <x:v>65</x:v>
      </x:c>
      <x:c r="N58" s="42" t="n">
        <x:v>50</x:v>
      </x:c>
      <x:c r="O58" s="42" t="n">
        <x:v>55</x:v>
      </x:c>
      <x:c r="P58" s="43" t="n">
        <x:f>IF(COUNT(J58:O58)=0,"",SUM(J58:O58))</x:f>
        <x:v>320</x:v>
      </x:c>
      <x:c r="Q58" s="23" t="str">
        <x:v>9 lignes de spawn</x:v>
      </x:c>
      <x:c r="R58" s="23" t="str">
        <x:v>Psykokwak utilise un pouvoir mystérieux. Lorsqu'il le fait, ce Pokémon génère des ondes cérébrales qu'on observe normalement uniquement chez les dormeurs. Cette découverte a provoqué une vive controverse parmi les chercheurs.</x:v>
      </x:c>
      <x:c r="S58" s="23" t="str"/>
      <x:c r="T58" s="23" t="str">
        <x:v>https://pixelmonmod.com/wiki/Psyduck</x:v>
      </x:c>
    </x:row>
    <x:row r="59" ht="54" customHeight="1">
      <x:c r="A59" s="27" t="n">
        <x:v>55</x:v>
      </x:c>
      <x:c r="B59" s="23" t="str">
        <x:v>Akwakwak</x:v>
      </x:c>
      <x:c r="C59" s="23" t="str">
        <x:v>Golduck</x:v>
      </x:c>
      <x:c r="D59" s="23" t="str">
        <x:v>Eau</x:v>
      </x:c>
      <x:c r="E59" s="23" t="str"/>
      <x:c r="F59" s="23" t="str">
        <x:v>Ultra Rare</x:v>
      </x:c>
      <x:c r="G59" s="45" t="n">
        <x:v>75000</x:v>
      </x:c>
      <x:c r="H59" s="45" t="n">
        <x:f>IF(G59="","",ROUNDUP(G59*3,0))</x:f>
        <x:v>225000</x:v>
      </x:c>
      <x:c r="I59" s="41" t="n">
        <x:v>1</x:v>
      </x:c>
      <x:c r="J59" s="42" t="n">
        <x:v>80</x:v>
      </x:c>
      <x:c r="K59" s="42" t="n">
        <x:v>82</x:v>
      </x:c>
      <x:c r="L59" s="42" t="n">
        <x:v>78</x:v>
      </x:c>
      <x:c r="M59" s="42" t="n">
        <x:v>95</x:v>
      </x:c>
      <x:c r="N59" s="42" t="n">
        <x:v>80</x:v>
      </x:c>
      <x:c r="O59" s="42" t="n">
        <x:v>85</x:v>
      </x:c>
      <x:c r="P59" s="43" t="n">
        <x:f>IF(COUNT(J59:O59)=0,"",SUM(J59:O59))</x:f>
        <x:v>500</x:v>
      </x:c>
      <x:c r="Q59" s="23" t="str">
        <x:v>7 lignes de spawn</x:v>
      </x:c>
      <x:c r="R59" s="23" t="str">
        <x:v>Ses nageoires palmées et son corps profilé donnent à Akwakwak une vitesse effrayante. Ce Pokémon est sans aucun doute bien plus rapide que les nageurs les plus athlétiques.</x:v>
      </x:c>
      <x:c r="S59" s="23" t="str"/>
      <x:c r="T59" s="23" t="str">
        <x:v>https://pixelmonmod.com/wiki/Golduck</x:v>
      </x:c>
    </x:row>
    <x:row r="60" ht="54" customHeight="1">
      <x:c r="A60" s="27" t="n">
        <x:v>56</x:v>
      </x:c>
      <x:c r="B60" s="23" t="str">
        <x:v>Férosinge</x:v>
      </x:c>
      <x:c r="C60" s="23" t="str">
        <x:v>Mankey</x:v>
      </x:c>
      <x:c r="D60" s="23" t="str">
        <x:v>Combat</x:v>
      </x:c>
      <x:c r="E60" s="23" t="str"/>
      <x:c r="F60" s="23" t="str">
        <x:v>Common / Uncommon / Ultra Rare</x:v>
      </x:c>
      <x:c r="G60" s="45" t="n">
        <x:v>75000</x:v>
      </x:c>
      <x:c r="H60" s="45" t="n">
        <x:f>IF(G60="","",ROUNDUP(G60*3,0))</x:f>
        <x:v>225000</x:v>
      </x:c>
      <x:c r="I60" s="41" t="n">
        <x:v>0.33299999999999996</x:v>
      </x:c>
      <x:c r="J60" s="42" t="n">
        <x:v>40</x:v>
      </x:c>
      <x:c r="K60" s="42" t="n">
        <x:v>80</x:v>
      </x:c>
      <x:c r="L60" s="42" t="n">
        <x:v>35</x:v>
      </x:c>
      <x:c r="M60" s="42" t="n">
        <x:v>35</x:v>
      </x:c>
      <x:c r="N60" s="42" t="n">
        <x:v>45</x:v>
      </x:c>
      <x:c r="O60" s="42" t="n">
        <x:v>70</x:v>
      </x:c>
      <x:c r="P60" s="43" t="n">
        <x:f>IF(COUNT(J60:O60)=0,"",SUM(J60:O60))</x:f>
        <x:v>305</x:v>
      </x:c>
      <x:c r="Q60" s="23" t="str">
        <x:v>6 lignes de spawn</x:v>
      </x:c>
      <x:c r="R60" s="23" t="str">
        <x:v>Quand Férosinge commence à trembler et que sa respiration nasale devient rauque, c'est un signe qu'il se met en colère. Mais comme il s'emporte presque instantanément, il est impossible de fuir sa fureur.</x:v>
      </x:c>
      <x:c r="S60" s="23" t="str">
        <x:v>Égalité de fréquence; prix provisoire basé sur le palier le plus élevé.</x:v>
      </x:c>
      <x:c r="T60" s="23" t="str">
        <x:v>https://pixelmonmod.com/wiki/Mankey</x:v>
      </x:c>
    </x:row>
    <x:row r="61" ht="54" customHeight="1">
      <x:c r="A61" s="27" t="n">
        <x:v>57</x:v>
      </x:c>
      <x:c r="B61" s="23" t="str">
        <x:v>Colossinge</x:v>
      </x:c>
      <x:c r="C61" s="23" t="str">
        <x:v>Primeape</x:v>
      </x:c>
      <x:c r="D61" s="23" t="str">
        <x:v>Combat</x:v>
      </x:c>
      <x:c r="E61" s="23" t="str"/>
      <x:c r="F61" s="23" t="str">
        <x:v>Ultra Rare</x:v>
      </x:c>
      <x:c r="G61" s="45" t="n">
        <x:v>75000</x:v>
      </x:c>
      <x:c r="H61" s="45" t="n">
        <x:f>IF(G61="","",ROUNDUP(G61*3,0))</x:f>
        <x:v>225000</x:v>
      </x:c>
      <x:c r="I61" s="41" t="n">
        <x:v>0.5710000000000001</x:v>
      </x:c>
      <x:c r="J61" s="42" t="n">
        <x:v>65</x:v>
      </x:c>
      <x:c r="K61" s="42" t="n">
        <x:v>105</x:v>
      </x:c>
      <x:c r="L61" s="42" t="n">
        <x:v>60</x:v>
      </x:c>
      <x:c r="M61" s="42" t="n">
        <x:v>60</x:v>
      </x:c>
      <x:c r="N61" s="42" t="n">
        <x:v>70</x:v>
      </x:c>
      <x:c r="O61" s="42" t="n">
        <x:v>95</x:v>
      </x:c>
      <x:c r="P61" s="43" t="n">
        <x:f>IF(COUNT(J61:O61)=0,"",SUM(J61:O61))</x:f>
        <x:v>455</x:v>
      </x:c>
      <x:c r="Q61" s="23" t="str">
        <x:v>7 lignes de spawn</x:v>
      </x:c>
      <x:c r="R61" s="23" t="str">
        <x:v>Lorsque Colossinge se met en colère, sa circulation sanguine s'accélère. Ses muscles deviennent alors encore plus puissants. Cependant, il devient aussi bien moins intelligent.</x:v>
      </x:c>
      <x:c r="S61" s="23" t="str"/>
      <x:c r="T61" s="23" t="str">
        <x:v>https://pixelmonmod.com/wiki/Primeape</x:v>
      </x:c>
    </x:row>
    <x:row r="62" ht="54" customHeight="1">
      <x:c r="A62" s="27" t="n">
        <x:v>58</x:v>
      </x:c>
      <x:c r="B62" s="23" t="str">
        <x:v>Caninos</x:v>
      </x:c>
      <x:c r="C62" s="23" t="str">
        <x:v>Growlithe</x:v>
      </x:c>
      <x:c r="D62" s="23" t="str">
        <x:v>Feu</x:v>
      </x:c>
      <x:c r="E62" s="23" t="str"/>
      <x:c r="F62" s="23" t="str">
        <x:v>Ultra Rare</x:v>
      </x:c>
      <x:c r="G62" s="45" t="n">
        <x:v>75000</x:v>
      </x:c>
      <x:c r="H62" s="45" t="n">
        <x:f>IF(G62="","",ROUNDUP(G62*3,0))</x:f>
        <x:v>225000</x:v>
      </x:c>
      <x:c r="I62" s="41" t="n">
        <x:v>0.5</x:v>
      </x:c>
      <x:c r="J62" s="42" t="n">
        <x:v>55</x:v>
      </x:c>
      <x:c r="K62" s="42" t="n">
        <x:v>70</x:v>
      </x:c>
      <x:c r="L62" s="42" t="n">
        <x:v>45</x:v>
      </x:c>
      <x:c r="M62" s="42" t="n">
        <x:v>70</x:v>
      </x:c>
      <x:c r="N62" s="42" t="n">
        <x:v>50</x:v>
      </x:c>
      <x:c r="O62" s="42" t="n">
        <x:v>60</x:v>
      </x:c>
      <x:c r="P62" s="43" t="n">
        <x:f>IF(COUNT(J62:O62)=0,"",SUM(J62:O62))</x:f>
        <x:v>350</x:v>
      </x:c>
      <x:c r="Q62" s="23" t="str">
        <x:v>6 lignes de spawn</x:v>
      </x:c>
      <x:c r="R62" s="23" t="str">
        <x:v>Caninos possède un sens de l'odorat exceptionnel. Une fois qu'il a senti quelque chose, il n'oublie jamais cette odeur. Il utilise son odorat avancé pour déterminer les émotions des êtres vivants.</x:v>
      </x:c>
      <x:c r="S62" s="23" t="str"/>
      <x:c r="T62" s="23" t="str">
        <x:v>https://pixelmonmod.com/wiki/Growlithe</x:v>
      </x:c>
    </x:row>
    <x:row r="63" ht="54" customHeight="1">
      <x:c r="A63" s="27" t="n">
        <x:v>59</x:v>
      </x:c>
      <x:c r="B63" s="23" t="str">
        <x:v>Arcanin</x:v>
      </x:c>
      <x:c r="C63" s="23" t="str">
        <x:v>Arcanine</x:v>
      </x:c>
      <x:c r="D63" s="23" t="str">
        <x:v>Feu</x:v>
      </x:c>
      <x:c r="E63" s="23" t="str"/>
      <x:c r="F63" s="23" t="str">
        <x:v>Ultra Rare</x:v>
      </x:c>
      <x:c r="G63" s="45" t="n">
        <x:v>75000</x:v>
      </x:c>
      <x:c r="H63" s="45" t="n">
        <x:f>IF(G63="","",ROUNDUP(G63*3,0))</x:f>
        <x:v>225000</x:v>
      </x:c>
      <x:c r="I63" s="41" t="n">
        <x:v>1</x:v>
      </x:c>
      <x:c r="J63" s="42" t="n">
        <x:v>90</x:v>
      </x:c>
      <x:c r="K63" s="42" t="n">
        <x:v>110</x:v>
      </x:c>
      <x:c r="L63" s="42" t="n">
        <x:v>80</x:v>
      </x:c>
      <x:c r="M63" s="42" t="n">
        <x:v>100</x:v>
      </x:c>
      <x:c r="N63" s="42" t="n">
        <x:v>80</x:v>
      </x:c>
      <x:c r="O63" s="42" t="n">
        <x:v>95</x:v>
      </x:c>
      <x:c r="P63" s="43" t="n">
        <x:f>IF(COUNT(J63:O63)=0,"",SUM(J63:O63))</x:f>
        <x:v>555</x:v>
      </x:c>
      <x:c r="Q63" s="23" t="str">
        <x:v>7 lignes de spawn</x:v>
      </x:c>
      <x:c r="R63" s="23" t="str">
        <x:v>Arcanin est réputé pour sa grande vitesse. On dit qu'il peut parcourir plus de 10 000 km en une seule journée. Le feu qui brûle en lui est sa source de puissance.</x:v>
      </x:c>
      <x:c r="S63" s="23" t="str"/>
      <x:c r="T63" s="23" t="str">
        <x:v>https://pixelmonmod.com/wiki/Arcanine</x:v>
      </x:c>
    </x:row>
    <x:row r="64" ht="54" customHeight="1">
      <x:c r="A64" s="27" t="n">
        <x:v>60</x:v>
      </x:c>
      <x:c r="B64" s="23" t="str">
        <x:v>Ptitard</x:v>
      </x:c>
      <x:c r="C64" s="23" t="str">
        <x:v>Poliwag</x:v>
      </x:c>
      <x:c r="D64" s="23" t="str">
        <x:v>Eau</x:v>
      </x:c>
      <x:c r="E64" s="23" t="str"/>
      <x:c r="F64" s="23" t="str">
        <x:v>Uncommon</x:v>
      </x:c>
      <x:c r="G64" s="45" t="n">
        <x:v>5000</x:v>
      </x:c>
      <x:c r="H64" s="45" t="n">
        <x:f>IF(G64="","",ROUNDUP(G64*3,0))</x:f>
        <x:v>15000</x:v>
      </x:c>
      <x:c r="I64" s="41" t="n">
        <x:v>0.6</x:v>
      </x:c>
      <x:c r="J64" s="42" t="n">
        <x:v>40</x:v>
      </x:c>
      <x:c r="K64" s="42" t="n">
        <x:v>50</x:v>
      </x:c>
      <x:c r="L64" s="42" t="n">
        <x:v>40</x:v>
      </x:c>
      <x:c r="M64" s="42" t="n">
        <x:v>40</x:v>
      </x:c>
      <x:c r="N64" s="42" t="n">
        <x:v>40</x:v>
      </x:c>
      <x:c r="O64" s="42" t="n">
        <x:v>90</x:v>
      </x:c>
      <x:c r="P64" s="43" t="n">
        <x:f>IF(COUNT(J64:O64)=0,"",SUM(J64:O64))</x:f>
        <x:v>300</x:v>
      </x:c>
      <x:c r="Q64" s="23" t="str">
        <x:v>10 lignes de spawn</x:v>
      </x:c>
      <x:c r="R64" s="23" t="str">
        <x:v>Ptitard possède une peau très fine. Il est possible de voir sa spirale interne à travers celle-ci. Malgré son extrême finesse, sa peau est aussi très souple. Même des crocs acérés ricochent dessus.</x:v>
      </x:c>
      <x:c r="S64" s="23" t="str"/>
      <x:c r="T64" s="23" t="str">
        <x:v>https://pixelmonmod.com/wiki/Poliwag</x:v>
      </x:c>
    </x:row>
    <x:row r="65" ht="54" customHeight="1">
      <x:c r="A65" s="27" t="n">
        <x:v>61</x:v>
      </x:c>
      <x:c r="B65" s="23" t="str">
        <x:v>Têtarte</x:v>
      </x:c>
      <x:c r="C65" s="23" t="str">
        <x:v>Poliwhirl</x:v>
      </x:c>
      <x:c r="D65" s="23" t="str">
        <x:v>Eau</x:v>
      </x:c>
      <x:c r="E65" s="23" t="str"/>
      <x:c r="F65" s="23" t="str">
        <x:v>Uncommon</x:v>
      </x:c>
      <x:c r="G65" s="45" t="n">
        <x:v>5000</x:v>
      </x:c>
      <x:c r="H65" s="45" t="n">
        <x:f>IF(G65="","",ROUNDUP(G65*3,0))</x:f>
        <x:v>15000</x:v>
      </x:c>
      <x:c r="I65" s="41" t="n">
        <x:v>0.5</x:v>
      </x:c>
      <x:c r="J65" s="42" t="n">
        <x:v>65</x:v>
      </x:c>
      <x:c r="K65" s="42" t="n">
        <x:v>65</x:v>
      </x:c>
      <x:c r="L65" s="42" t="n">
        <x:v>65</x:v>
      </x:c>
      <x:c r="M65" s="42" t="n">
        <x:v>50</x:v>
      </x:c>
      <x:c r="N65" s="42" t="n">
        <x:v>50</x:v>
      </x:c>
      <x:c r="O65" s="42" t="n">
        <x:v>90</x:v>
      </x:c>
      <x:c r="P65" s="43" t="n">
        <x:f>IF(COUNT(J65:O65)=0,"",SUM(J65:O65))</x:f>
        <x:v>385</x:v>
      </x:c>
      <x:c r="Q65" s="23" t="str">
        <x:v>16 lignes de spawn</x:v>
      </x:c>
      <x:c r="R65" s="23" t="str">
        <x:v>La surface du corps de Têtarte est toujours mouillée et recouverte d'un fluide huileux. Grâce à ce revêtement glissant, il peut facilement échapper aux prises de n'importe quel ennemi durant un combat.</x:v>
      </x:c>
      <x:c r="S65" s="23" t="str"/>
      <x:c r="T65" s="23" t="str">
        <x:v>https://pixelmonmod.com/wiki/Poliwhirl</x:v>
      </x:c>
    </x:row>
    <x:row r="66" ht="54" customHeight="1">
      <x:c r="A66" s="27" t="n">
        <x:v>62</x:v>
      </x:c>
      <x:c r="B66" s="23" t="str">
        <x:v>Tartard</x:v>
      </x:c>
      <x:c r="C66" s="23" t="str">
        <x:v>Poliwrath</x:v>
      </x:c>
      <x:c r="D66" s="23" t="str">
        <x:v>Eau</x:v>
      </x:c>
      <x:c r="E66" s="23" t="str">
        <x:v>Combat</x:v>
      </x:c>
      <x:c r="F66" s="23" t="str">
        <x:v>Ultra Rare</x:v>
      </x:c>
      <x:c r="G66" s="45" t="n">
        <x:v>75000</x:v>
      </x:c>
      <x:c r="H66" s="45" t="n">
        <x:f>IF(G66="","",ROUNDUP(G66*3,0))</x:f>
        <x:v>225000</x:v>
      </x:c>
      <x:c r="I66" s="41" t="n">
        <x:v>1</x:v>
      </x:c>
      <x:c r="J66" s="42" t="n">
        <x:v>90</x:v>
      </x:c>
      <x:c r="K66" s="42" t="n">
        <x:v>95</x:v>
      </x:c>
      <x:c r="L66" s="42" t="n">
        <x:v>95</x:v>
      </x:c>
      <x:c r="M66" s="42" t="n">
        <x:v>70</x:v>
      </x:c>
      <x:c r="N66" s="42" t="n">
        <x:v>90</x:v>
      </x:c>
      <x:c r="O66" s="42" t="n">
        <x:v>70</x:v>
      </x:c>
      <x:c r="P66" s="43" t="n">
        <x:f>IF(COUNT(J66:O66)=0,"",SUM(J66:O66))</x:f>
        <x:v>510</x:v>
      </x:c>
      <x:c r="Q66" s="23" t="str">
        <x:v>8 lignes de spawn</x:v>
      </x:c>
      <x:c r="R66" s="23" t="str">
        <x:v>Les muscles très développés et puissants de Tartard ne fatiguent jamais, peu importe l'intensité de son entraînement. D'une force infatigable, ce Pokémon peut traverser l'océan d'un bout à l'autre sans effort.</x:v>
      </x:c>
      <x:c r="S66" s="23" t="str"/>
      <x:c r="T66" s="23" t="str">
        <x:v>https://pixelmonmod.com/wiki/Poliwrath</x:v>
      </x:c>
    </x:row>
    <x:row r="67" ht="54" customHeight="1">
      <x:c r="A67" s="27" t="n">
        <x:v>63</x:v>
      </x:c>
      <x:c r="B67" s="23" t="str">
        <x:v>Abra</x:v>
      </x:c>
      <x:c r="C67" s="23" t="str">
        <x:v>Abra</x:v>
      </x:c>
      <x:c r="D67" s="23" t="str">
        <x:v>Psy</x:v>
      </x:c>
      <x:c r="E67" s="23" t="str"/>
      <x:c r="F67" s="23" t="str">
        <x:v>Uncommon</x:v>
      </x:c>
      <x:c r="G67" s="45" t="n">
        <x:v>5000</x:v>
      </x:c>
      <x:c r="H67" s="45" t="n">
        <x:f>IF(G67="","",ROUNDUP(G67*3,0))</x:f>
        <x:v>15000</x:v>
      </x:c>
      <x:c r="I67" s="41" t="n">
        <x:v>1</x:v>
      </x:c>
      <x:c r="J67" s="42" t="n">
        <x:v>25</x:v>
      </x:c>
      <x:c r="K67" s="42" t="n">
        <x:v>20</x:v>
      </x:c>
      <x:c r="L67" s="42" t="n">
        <x:v>15</x:v>
      </x:c>
      <x:c r="M67" s="42" t="n">
        <x:v>105</x:v>
      </x:c>
      <x:c r="N67" s="42" t="n">
        <x:v>55</x:v>
      </x:c>
      <x:c r="O67" s="42" t="n">
        <x:v>90</x:v>
      </x:c>
      <x:c r="P67" s="43" t="n">
        <x:f>IF(COUNT(J67:O67)=0,"",SUM(J67:O67))</x:f>
        <x:v>310</x:v>
      </x:c>
      <x:c r="Q67" s="23" t="str">
        <x:v>2 lignes de spawn</x:v>
      </x:c>
      <x:c r="R67" s="23" t="str">
        <x:v>Abra dort dix-huit heures par jour. Cependant, il peut sentir la présence d'ennemis même en dormant. Dans une telle situation, ce Pokémon se téléporte immédiatement pour se mettre en sécurité.</x:v>
      </x:c>
      <x:c r="S67" s="23" t="str"/>
      <x:c r="T67" s="23" t="str">
        <x:v>https://pixelmonmod.com/wiki/Abra</x:v>
      </x:c>
    </x:row>
    <x:row r="68" ht="54" customHeight="1">
      <x:c r="A68" s="27" t="n">
        <x:v>64</x:v>
      </x:c>
      <x:c r="B68" s="23" t="str">
        <x:v>Kadabra</x:v>
      </x:c>
      <x:c r="C68" s="23" t="str">
        <x:v>Kadabra</x:v>
      </x:c>
      <x:c r="D68" s="23" t="str">
        <x:v>Psy</x:v>
      </x:c>
      <x:c r="E68" s="23" t="str"/>
      <x:c r="F68" s="23" t="str">
        <x:v>Ultra Rare</x:v>
      </x:c>
      <x:c r="G68" s="45" t="n">
        <x:v>75000</x:v>
      </x:c>
      <x:c r="H68" s="45" t="n">
        <x:f>IF(G68="","",ROUNDUP(G68*3,0))</x:f>
        <x:v>225000</x:v>
      </x:c>
      <x:c r="I68" s="41" t="n">
        <x:v>1</x:v>
      </x:c>
      <x:c r="J68" s="42" t="n">
        <x:v>40</x:v>
      </x:c>
      <x:c r="K68" s="42" t="n">
        <x:v>35</x:v>
      </x:c>
      <x:c r="L68" s="42" t="n">
        <x:v>30</x:v>
      </x:c>
      <x:c r="M68" s="42" t="n">
        <x:v>120</x:v>
      </x:c>
      <x:c r="N68" s="42" t="n">
        <x:v>70</x:v>
      </x:c>
      <x:c r="O68" s="42" t="n">
        <x:v>105</x:v>
      </x:c>
      <x:c r="P68" s="43" t="n">
        <x:f>IF(COUNT(J68:O68)=0,"",SUM(J68:O68))</x:f>
        <x:v>400</x:v>
      </x:c>
      <x:c r="Q68" s="23" t="str">
        <x:v>2 lignes de spawn</x:v>
      </x:c>
      <x:c r="R68" s="23" t="str">
        <x:v>Kadabra émet une étrange onde alpha lorsqu'il a mal à la tête. Seules les personnes dotées d'une forte force mentale peuvent espérer devenir son Dresseur.</x:v>
      </x:c>
      <x:c r="S68" s="23" t="str"/>
      <x:c r="T68" s="23" t="str">
        <x:v>https://pixelmonmod.com/wiki/Kadabra</x:v>
      </x:c>
    </x:row>
    <x:row r="69" ht="54" customHeight="1">
      <x:c r="A69" s="27" t="n">
        <x:v>65</x:v>
      </x:c>
      <x:c r="B69" s="23" t="str">
        <x:v>Alakazam</x:v>
      </x:c>
      <x:c r="C69" s="23" t="str">
        <x:v>Alakazam</x:v>
      </x:c>
      <x:c r="D69" s="23" t="str">
        <x:v>Psy</x:v>
      </x:c>
      <x:c r="E69" s="23" t="str"/>
      <x:c r="F69" s="23" t="str">
        <x:v>Ultra Rare</x:v>
      </x:c>
      <x:c r="G69" s="45" t="n">
        <x:v>75000</x:v>
      </x:c>
      <x:c r="H69" s="45" t="n">
        <x:f>IF(G69="","",ROUNDUP(G69*3,0))</x:f>
        <x:v>225000</x:v>
      </x:c>
      <x:c r="I69" s="41" t="n">
        <x:v>1</x:v>
      </x:c>
      <x:c r="J69" s="42" t="n">
        <x:v>55</x:v>
      </x:c>
      <x:c r="K69" s="42" t="n">
        <x:v>50</x:v>
      </x:c>
      <x:c r="L69" s="42" t="n">
        <x:v>45</x:v>
      </x:c>
      <x:c r="M69" s="42" t="n">
        <x:v>135</x:v>
      </x:c>
      <x:c r="N69" s="42" t="n">
        <x:v>95</x:v>
      </x:c>
      <x:c r="O69" s="42" t="n">
        <x:v>120</x:v>
      </x:c>
      <x:c r="P69" s="43" t="n">
        <x:f>IF(COUNT(J69:O69)=0,"",SUM(J69:O69))</x:f>
        <x:v>500</x:v>
      </x:c>
      <x:c r="Q69" s="23" t="str">
        <x:v>3 lignes de spawn</x:v>
      </x:c>
      <x:c r="R69" s="23" t="str">
        <x:v>Le cerveau d'Alakazam ne cesse de croître, rendant sa tête trop lourde pour son cou. Ce Pokémon la maintient levée grâce à ses pouvoirs psychokinétiques.</x:v>
      </x:c>
      <x:c r="S69" s="23" t="str"/>
      <x:c r="T69" s="23" t="str">
        <x:v>https://pixelmonmod.com/wiki/Alakazam</x:v>
      </x:c>
    </x:row>
    <x:row r="70" ht="54" customHeight="1">
      <x:c r="A70" s="27" t="n">
        <x:v>66</x:v>
      </x:c>
      <x:c r="B70" s="23" t="str">
        <x:v>Machoc</x:v>
      </x:c>
      <x:c r="C70" s="23" t="str">
        <x:v>Machop</x:v>
      </x:c>
      <x:c r="D70" s="23" t="str">
        <x:v>Combat</x:v>
      </x:c>
      <x:c r="E70" s="23" t="str"/>
      <x:c r="F70" s="23" t="str">
        <x:v>Common</x:v>
      </x:c>
      <x:c r="G70" s="45" t="n">
        <x:v>2000</x:v>
      </x:c>
      <x:c r="H70" s="45" t="n">
        <x:f>IF(G70="","",ROUNDUP(G70*3,0))</x:f>
        <x:v>6000</x:v>
      </x:c>
      <x:c r="I70" s="41" t="n">
        <x:v>1</x:v>
      </x:c>
      <x:c r="J70" s="42" t="n">
        <x:v>70</x:v>
      </x:c>
      <x:c r="K70" s="42" t="n">
        <x:v>80</x:v>
      </x:c>
      <x:c r="L70" s="42" t="n">
        <x:v>50</x:v>
      </x:c>
      <x:c r="M70" s="42" t="n">
        <x:v>35</x:v>
      </x:c>
      <x:c r="N70" s="42" t="n">
        <x:v>35</x:v>
      </x:c>
      <x:c r="O70" s="42" t="n">
        <x:v>35</x:v>
      </x:c>
      <x:c r="P70" s="43" t="n">
        <x:f>IF(COUNT(J70:O70)=0,"",SUM(J70:O70))</x:f>
        <x:v>305</x:v>
      </x:c>
      <x:c r="Q70" s="23" t="str">
        <x:v>1 lignes de spawn</x:v>
      </x:c>
      <x:c r="R70" s="23" t="str">
        <x:v>Les muscles de Machoc sont particuliers : ils ne fatiguent jamais, peu importe l'intensité de l'entraînement. Ce Pokémon possède assez de puissance pour projeter une centaine d'êtres humains adultes.</x:v>
      </x:c>
      <x:c r="S70" s="23" t="str"/>
      <x:c r="T70" s="23" t="str">
        <x:v>https://pixelmonmod.com/wiki/Machop</x:v>
      </x:c>
    </x:row>
    <x:row r="71" ht="54" customHeight="1">
      <x:c r="A71" s="27" t="n">
        <x:v>67</x:v>
      </x:c>
      <x:c r="B71" s="23" t="str">
        <x:v>Machopeur</x:v>
      </x:c>
      <x:c r="C71" s="23" t="str">
        <x:v>Machoke</x:v>
      </x:c>
      <x:c r="D71" s="23" t="str">
        <x:v>Combat</x:v>
      </x:c>
      <x:c r="E71" s="23" t="str"/>
      <x:c r="F71" s="23" t="str">
        <x:v>Rare</x:v>
      </x:c>
      <x:c r="G71" s="45" t="n">
        <x:v>12000</x:v>
      </x:c>
      <x:c r="H71" s="45" t="n">
        <x:f>IF(G71="","",ROUNDUP(G71*3,0))</x:f>
        <x:v>36000</x:v>
      </x:c>
      <x:c r="I71" s="41" t="n">
        <x:v>1</x:v>
      </x:c>
      <x:c r="J71" s="42" t="n">
        <x:v>80</x:v>
      </x:c>
      <x:c r="K71" s="42" t="n">
        <x:v>100</x:v>
      </x:c>
      <x:c r="L71" s="42" t="n">
        <x:v>70</x:v>
      </x:c>
      <x:c r="M71" s="42" t="n">
        <x:v>50</x:v>
      </x:c>
      <x:c r="N71" s="42" t="n">
        <x:v>60</x:v>
      </x:c>
      <x:c r="O71" s="42" t="n">
        <x:v>45</x:v>
      </x:c>
      <x:c r="P71" s="43" t="n">
        <x:f>IF(COUNT(J71:O71)=0,"",SUM(J71:O71))</x:f>
        <x:v>405</x:v>
      </x:c>
      <x:c r="Q71" s="23" t="str">
        <x:v>2 lignes de spawn</x:v>
      </x:c>
      <x:c r="R71" s="23" t="str">
        <x:v>Les muscles parfaitement entraînés de Machopeur possèdent la dureté de l'acier. Ce Pokémon a une telle force qu'il peut soulever un lutteur de sumo sur un seul doigt.</x:v>
      </x:c>
      <x:c r="S71" s="23" t="str"/>
      <x:c r="T71" s="23" t="str">
        <x:v>https://pixelmonmod.com/wiki/Machoke</x:v>
      </x:c>
    </x:row>
    <x:row r="72" ht="54" customHeight="1">
      <x:c r="A72" s="27" t="n">
        <x:v>68</x:v>
      </x:c>
      <x:c r="B72" s="23" t="str">
        <x:v>Mackogneur</x:v>
      </x:c>
      <x:c r="C72" s="23" t="str">
        <x:v>Machamp</x:v>
      </x:c>
      <x:c r="D72" s="23" t="str">
        <x:v>Combat</x:v>
      </x:c>
      <x:c r="E72" s="23" t="str"/>
      <x:c r="F72" s="23" t="str">
        <x:v>Ultra Rare</x:v>
      </x:c>
      <x:c r="G72" s="45" t="n">
        <x:v>75000</x:v>
      </x:c>
      <x:c r="H72" s="45" t="n">
        <x:f>IF(G72="","",ROUNDUP(G72*3,0))</x:f>
        <x:v>225000</x:v>
      </x:c>
      <x:c r="I72" s="41" t="n">
        <x:v>1</x:v>
      </x:c>
      <x:c r="J72" s="42" t="n">
        <x:v>90</x:v>
      </x:c>
      <x:c r="K72" s="42" t="n">
        <x:v>130</x:v>
      </x:c>
      <x:c r="L72" s="42" t="n">
        <x:v>80</x:v>
      </x:c>
      <x:c r="M72" s="42" t="n">
        <x:v>65</x:v>
      </x:c>
      <x:c r="N72" s="42" t="n">
        <x:v>85</x:v>
      </x:c>
      <x:c r="O72" s="42" t="n">
        <x:v>55</x:v>
      </x:c>
      <x:c r="P72" s="43" t="n">
        <x:f>IF(COUNT(J72:O72)=0,"",SUM(J72:O72))</x:f>
        <x:v>505</x:v>
      </x:c>
      <x:c r="Q72" s="23" t="str">
        <x:v>1 lignes de spawn</x:v>
      </x:c>
      <x:c r="R72" s="23" t="str">
        <x:v>Mackogneur a le pouvoir d'envoyer valser n'importe quoi. Cependant, dès qu'il tente d'accomplir un travail demandant soin et dextérité, ses bras s'emmêlent. Ce Pokémon agit souvent avant de réfléchir.</x:v>
      </x:c>
      <x:c r="S72" s="23" t="str"/>
      <x:c r="T72" s="23" t="str">
        <x:v>https://pixelmonmod.com/wiki/Machamp</x:v>
      </x:c>
    </x:row>
    <x:row r="73" ht="54" customHeight="1">
      <x:c r="A73" s="27" t="n">
        <x:v>69</x:v>
      </x:c>
      <x:c r="B73" s="23" t="str">
        <x:v>Chétiflor</x:v>
      </x:c>
      <x:c r="C73" s="23" t="str">
        <x:v>Bellsprout</x:v>
      </x:c>
      <x:c r="D73" s="23" t="str">
        <x:v>Plante</x:v>
      </x:c>
      <x:c r="E73" s="23" t="str">
        <x:v>Poison</x:v>
      </x:c>
      <x:c r="F73" s="23" t="str">
        <x:v>Common / Ultra Rare</x:v>
      </x:c>
      <x:c r="G73" s="45" t="n">
        <x:v>75000</x:v>
      </x:c>
      <x:c r="H73" s="45" t="n">
        <x:f>IF(G73="","",ROUNDUP(G73*3,0))</x:f>
        <x:v>225000</x:v>
      </x:c>
      <x:c r="I73" s="41" t="n">
        <x:v>0.5</x:v>
      </x:c>
      <x:c r="J73" s="42" t="n">
        <x:v>50</x:v>
      </x:c>
      <x:c r="K73" s="42" t="n">
        <x:v>75</x:v>
      </x:c>
      <x:c r="L73" s="42" t="n">
        <x:v>35</x:v>
      </x:c>
      <x:c r="M73" s="42" t="n">
        <x:v>70</x:v>
      </x:c>
      <x:c r="N73" s="42" t="n">
        <x:v>30</x:v>
      </x:c>
      <x:c r="O73" s="42" t="n">
        <x:v>40</x:v>
      </x:c>
      <x:c r="P73" s="43" t="n">
        <x:f>IF(COUNT(J73:O73)=0,"",SUM(J73:O73))</x:f>
        <x:v>300</x:v>
      </x:c>
      <x:c r="Q73" s="23" t="str">
        <x:v>6 lignes de spawn</x:v>
      </x:c>
      <x:c r="R73" s="23" t="str">
        <x:v>Le corps mince et flexible de Chétiflor lui permet d'esquiver les attaques, même les plus puissantes. Par sa bouche, ce Pokémon projette un fluide corrosif capable de faire fondre même le fer.</x:v>
      </x:c>
      <x:c r="S73" s="23" t="str">
        <x:v>Égalité de fréquence; prix provisoire basé sur le palier le plus élevé.</x:v>
      </x:c>
      <x:c r="T73" s="23" t="str">
        <x:v>https://pixelmonmod.com/wiki/Bellsprout</x:v>
      </x:c>
    </x:row>
    <x:row r="74" ht="54" customHeight="1">
      <x:c r="A74" s="27" t="n">
        <x:v>70</x:v>
      </x:c>
      <x:c r="B74" s="23" t="str">
        <x:v>Boustiflor</x:v>
      </x:c>
      <x:c r="C74" s="23" t="str">
        <x:v>Weepinbell</x:v>
      </x:c>
      <x:c r="D74" s="23" t="str">
        <x:v>Plante</x:v>
      </x:c>
      <x:c r="E74" s="23" t="str">
        <x:v>Poison</x:v>
      </x:c>
      <x:c r="F74" s="23" t="str">
        <x:v>Rare / Ultra Rare</x:v>
      </x:c>
      <x:c r="G74" s="45" t="n">
        <x:v>75000</x:v>
      </x:c>
      <x:c r="H74" s="45" t="n">
        <x:f>IF(G74="","",ROUNDUP(G74*3,0))</x:f>
        <x:v>225000</x:v>
      </x:c>
      <x:c r="I74" s="41" t="n">
        <x:v>0.5</x:v>
      </x:c>
      <x:c r="J74" s="42" t="n">
        <x:v>65</x:v>
      </x:c>
      <x:c r="K74" s="42" t="n">
        <x:v>90</x:v>
      </x:c>
      <x:c r="L74" s="42" t="n">
        <x:v>50</x:v>
      </x:c>
      <x:c r="M74" s="42" t="n">
        <x:v>85</x:v>
      </x:c>
      <x:c r="N74" s="42" t="n">
        <x:v>45</x:v>
      </x:c>
      <x:c r="O74" s="42" t="n">
        <x:v>55</x:v>
      </x:c>
      <x:c r="P74" s="43" t="n">
        <x:f>IF(COUNT(J74:O74)=0,"",SUM(J74:O74))</x:f>
        <x:v>390</x:v>
      </x:c>
      <x:c r="Q74" s="23" t="str">
        <x:v>6 lignes de spawn</x:v>
      </x:c>
      <x:c r="R74" s="23" t="str">
        <x:v>Boustiflor possède un grand crochet au bout de son corps. La nuit, ce Pokémon s'accroche à une branche et s'endort. S'il bouge trop pendant son sommeil, il se réveille parfois sur le sol.</x:v>
      </x:c>
      <x:c r="S74" s="23" t="str">
        <x:v>Égalité de fréquence; prix provisoire basé sur le palier le plus élevé.</x:v>
      </x:c>
      <x:c r="T74" s="23" t="str">
        <x:v>https://pixelmonmod.com/wiki/Weepinbell</x:v>
      </x:c>
    </x:row>
    <x:row r="75" ht="54" customHeight="1">
      <x:c r="A75" s="27" t="n">
        <x:v>71</x:v>
      </x:c>
      <x:c r="B75" s="23" t="str">
        <x:v>Empiflor</x:v>
      </x:c>
      <x:c r="C75" s="23" t="str">
        <x:v>Victreebel</x:v>
      </x:c>
      <x:c r="D75" s="23" t="str">
        <x:v>Plante</x:v>
      </x:c>
      <x:c r="E75" s="23" t="str">
        <x:v>Poison</x:v>
      </x:c>
      <x:c r="F75" s="23" t="str">
        <x:v>Ultra Rare</x:v>
      </x:c>
      <x:c r="G75" s="45" t="n">
        <x:v>75000</x:v>
      </x:c>
      <x:c r="H75" s="45" t="n">
        <x:f>IF(G75="","",ROUNDUP(G75*3,0))</x:f>
        <x:v>225000</x:v>
      </x:c>
      <x:c r="I75" s="41" t="n">
        <x:v>1</x:v>
      </x:c>
      <x:c r="J75" s="42" t="n">
        <x:v>80</x:v>
      </x:c>
      <x:c r="K75" s="42" t="n">
        <x:v>105</x:v>
      </x:c>
      <x:c r="L75" s="42" t="n">
        <x:v>65</x:v>
      </x:c>
      <x:c r="M75" s="42" t="n">
        <x:v>100</x:v>
      </x:c>
      <x:c r="N75" s="42" t="n">
        <x:v>70</x:v>
      </x:c>
      <x:c r="O75" s="42" t="n">
        <x:v>70</x:v>
      </x:c>
      <x:c r="P75" s="43" t="n">
        <x:f>IF(COUNT(J75:O75)=0,"",SUM(J75:O75))</x:f>
        <x:v>490</x:v>
      </x:c>
      <x:c r="Q75" s="23" t="str">
        <x:v>6 lignes de spawn</x:v>
      </x:c>
      <x:c r="R75" s="23" t="str">
        <x:v>Empiflor possède une longue liane qui s'étend depuis sa tête. Il l'agite comme un animal pour attirer ses proies. Quand une proie s'approche, il l'avale d'un seul coup.</x:v>
      </x:c>
      <x:c r="S75" s="23" t="str"/>
      <x:c r="T75" s="23" t="str">
        <x:v>https://pixelmonmod.com/wiki/Victreebel</x:v>
      </x:c>
    </x:row>
    <x:row r="76" ht="54" customHeight="1">
      <x:c r="A76" s="27" t="n">
        <x:v>72</x:v>
      </x:c>
      <x:c r="B76" s="23" t="str">
        <x:v>Tentacool</x:v>
      </x:c>
      <x:c r="C76" s="23" t="str">
        <x:v>Tentacool</x:v>
      </x:c>
      <x:c r="D76" s="23" t="str">
        <x:v>Eau</x:v>
      </x:c>
      <x:c r="E76" s="23" t="str">
        <x:v>Poison</x:v>
      </x:c>
      <x:c r="F76" s="23" t="str">
        <x:v>Uncommon</x:v>
      </x:c>
      <x:c r="G76" s="45" t="n">
        <x:v>5000</x:v>
      </x:c>
      <x:c r="H76" s="45" t="n">
        <x:f>IF(G76="","",ROUNDUP(G76*3,0))</x:f>
        <x:v>15000</x:v>
      </x:c>
      <x:c r="I76" s="41" t="n">
        <x:v>1</x:v>
      </x:c>
      <x:c r="J76" s="42" t="n">
        <x:v>40</x:v>
      </x:c>
      <x:c r="K76" s="42" t="n">
        <x:v>40</x:v>
      </x:c>
      <x:c r="L76" s="42" t="n">
        <x:v>35</x:v>
      </x:c>
      <x:c r="M76" s="42" t="n">
        <x:v>50</x:v>
      </x:c>
      <x:c r="N76" s="42" t="n">
        <x:v>100</x:v>
      </x:c>
      <x:c r="O76" s="42" t="n">
        <x:v>70</x:v>
      </x:c>
      <x:c r="P76" s="43" t="n">
        <x:f>IF(COUNT(J76:O76)=0,"",SUM(J76:O76))</x:f>
        <x:v>335</x:v>
      </x:c>
      <x:c r="Q76" s="23" t="str">
        <x:v>4 lignes de spawn</x:v>
      </x:c>
      <x:c r="R76" s="23" t="str">
        <x:v>Le corps de Tentacool est essentiellement composé d'eau. Hors de la mer, il se dessèche comme du parchemin. Si ce Pokémon est déshydraté, remettez-le aussitôt à l'eau.</x:v>
      </x:c>
      <x:c r="S76" s="23" t="str"/>
      <x:c r="T76" s="23" t="str">
        <x:v>https://pixelmonmod.com/wiki/Tentacool</x:v>
      </x:c>
    </x:row>
    <x:row r="77" ht="54" customHeight="1">
      <x:c r="A77" s="27" t="n">
        <x:v>73</x:v>
      </x:c>
      <x:c r="B77" s="23" t="str">
        <x:v>Tentacruel</x:v>
      </x:c>
      <x:c r="C77" s="23" t="str">
        <x:v>Tentacruel</x:v>
      </x:c>
      <x:c r="D77" s="23" t="str">
        <x:v>Eau</x:v>
      </x:c>
      <x:c r="E77" s="23" t="str">
        <x:v>Poison</x:v>
      </x:c>
      <x:c r="F77" s="23" t="str">
        <x:v>Ultra Rare</x:v>
      </x:c>
      <x:c r="G77" s="45" t="n">
        <x:v>75000</x:v>
      </x:c>
      <x:c r="H77" s="45" t="n">
        <x:f>IF(G77="","",ROUNDUP(G77*3,0))</x:f>
        <x:v>225000</x:v>
      </x:c>
      <x:c r="I77" s="41" t="n">
        <x:v>0.667</x:v>
      </x:c>
      <x:c r="J77" s="42" t="n">
        <x:v>80</x:v>
      </x:c>
      <x:c r="K77" s="42" t="n">
        <x:v>70</x:v>
      </x:c>
      <x:c r="L77" s="42" t="n">
        <x:v>65</x:v>
      </x:c>
      <x:c r="M77" s="42" t="n">
        <x:v>80</x:v>
      </x:c>
      <x:c r="N77" s="42" t="n">
        <x:v>120</x:v>
      </x:c>
      <x:c r="O77" s="42" t="n">
        <x:v>100</x:v>
      </x:c>
      <x:c r="P77" s="43" t="n">
        <x:f>IF(COUNT(J77:O77)=0,"",SUM(J77:O77))</x:f>
        <x:v>515</x:v>
      </x:c>
      <x:c r="Q77" s="23" t="str">
        <x:v>6 lignes de spawn</x:v>
      </x:c>
      <x:c r="R77" s="23" t="str">
        <x:v>Tentacruel possède de grands orbes rouges sur la tête. Ils brillent avant de libérer une puissante onde ultrasonique. Ses crises déclenchent de grosses vagues autour de lui.</x:v>
      </x:c>
      <x:c r="S77" s="23" t="str"/>
      <x:c r="T77" s="23" t="str">
        <x:v>https://pixelmonmod.com/wiki/Tentacruel</x:v>
      </x:c>
    </x:row>
    <x:row r="78" ht="54" customHeight="1">
      <x:c r="A78" s="27" t="n">
        <x:v>74</x:v>
      </x:c>
      <x:c r="B78" s="23" t="str">
        <x:v>Racaillou</x:v>
      </x:c>
      <x:c r="C78" s="23" t="str">
        <x:v>Geodude</x:v>
      </x:c>
      <x:c r="D78" s="23" t="str">
        <x:v>Roche</x:v>
      </x:c>
      <x:c r="E78" s="23" t="str">
        <x:v>Sol</x:v>
      </x:c>
      <x:c r="F78" s="23" t="str">
        <x:v>Common</x:v>
      </x:c>
      <x:c r="G78" s="45" t="n">
        <x:v>2000</x:v>
      </x:c>
      <x:c r="H78" s="45" t="n">
        <x:f>IF(G78="","",ROUNDUP(G78*3,0))</x:f>
        <x:v>6000</x:v>
      </x:c>
      <x:c r="I78" s="41" t="n">
        <x:v>0.55</x:v>
      </x:c>
      <x:c r="J78" s="42" t="n">
        <x:v>40</x:v>
      </x:c>
      <x:c r="K78" s="42" t="n">
        <x:v>80</x:v>
      </x:c>
      <x:c r="L78" s="42" t="n">
        <x:v>100</x:v>
      </x:c>
      <x:c r="M78" s="42" t="n">
        <x:v>30</x:v>
      </x:c>
      <x:c r="N78" s="42" t="n">
        <x:v>30</x:v>
      </x:c>
      <x:c r="O78" s="42" t="n">
        <x:v>20</x:v>
      </x:c>
      <x:c r="P78" s="43" t="n">
        <x:f>IF(COUNT(J78:O78)=0,"",SUM(J78:O78))</x:f>
        <x:v>300</x:v>
      </x:c>
      <x:c r="Q78" s="23" t="str">
        <x:v>20 lignes de spawn</x:v>
      </x:c>
      <x:c r="R78" s="23" t="str">
        <x:v>Plus un Racaillou vit longtemps, plus ses arêtes s'ébrèchent et s'usent, ce qui le rend plus arrondi. Cependant, le cœur de ce Pokémon restera toujours dur, rocailleux et rugueux.</x:v>
      </x:c>
      <x:c r="S78" s="23" t="str"/>
      <x:c r="T78" s="23" t="str">
        <x:v>https://pixelmonmod.com/wiki/Geodude</x:v>
      </x:c>
    </x:row>
    <x:row r="79" ht="54" customHeight="1">
      <x:c r="A79" s="27" t="n">
        <x:v>75</x:v>
      </x:c>
      <x:c r="B79" s="23" t="str">
        <x:v>Gravalanch</x:v>
      </x:c>
      <x:c r="C79" s="23" t="str">
        <x:v>Graveler</x:v>
      </x:c>
      <x:c r="D79" s="23" t="str">
        <x:v>Roche</x:v>
      </x:c>
      <x:c r="E79" s="23" t="str">
        <x:v>Sol</x:v>
      </x:c>
      <x:c r="F79" s="23" t="str">
        <x:v>Rare</x:v>
      </x:c>
      <x:c r="G79" s="45" t="n">
        <x:v>12000</x:v>
      </x:c>
      <x:c r="H79" s="45" t="n">
        <x:f>IF(G79="","",ROUNDUP(G79*3,0))</x:f>
        <x:v>36000</x:v>
      </x:c>
      <x:c r="I79" s="41" t="n">
        <x:v>0.478</x:v>
      </x:c>
      <x:c r="J79" s="42" t="n">
        <x:v>55</x:v>
      </x:c>
      <x:c r="K79" s="42" t="n">
        <x:v>95</x:v>
      </x:c>
      <x:c r="L79" s="42" t="n">
        <x:v>115</x:v>
      </x:c>
      <x:c r="M79" s="42" t="n">
        <x:v>45</x:v>
      </x:c>
      <x:c r="N79" s="42" t="n">
        <x:v>45</x:v>
      </x:c>
      <x:c r="O79" s="42" t="n">
        <x:v>35</x:v>
      </x:c>
      <x:c r="P79" s="43" t="n">
        <x:f>IF(COUNT(J79:O79)=0,"",SUM(J79:O79))</x:f>
        <x:v>390</x:v>
      </x:c>
      <x:c r="Q79" s="23" t="str">
        <x:v>23 lignes de spawn</x:v>
      </x:c>
      <x:c r="R79" s="23" t="str">
        <x:v>Gravalanch grandit en se nourrissant de roches. Apparemment, il préfère celles recouvertes de mousse. Ce Pokémon mange chaque jour près d'une tonne de roches.</x:v>
      </x:c>
      <x:c r="S79" s="23" t="str"/>
      <x:c r="T79" s="23" t="str">
        <x:v>https://pixelmonmod.com/wiki/Graveler</x:v>
      </x:c>
    </x:row>
    <x:row r="80" ht="54" customHeight="1">
      <x:c r="A80" s="27" t="n">
        <x:v>76</x:v>
      </x:c>
      <x:c r="B80" s="23" t="str">
        <x:v>Grolem</x:v>
      </x:c>
      <x:c r="C80" s="23" t="str">
        <x:v>Golem</x:v>
      </x:c>
      <x:c r="D80" s="23" t="str">
        <x:v>Roche</x:v>
      </x:c>
      <x:c r="E80" s="23" t="str">
        <x:v>Sol</x:v>
      </x:c>
      <x:c r="F80" s="23" t="str">
        <x:v>Ultra Rare</x:v>
      </x:c>
      <x:c r="G80" s="45" t="n">
        <x:v>75000</x:v>
      </x:c>
      <x:c r="H80" s="45" t="n">
        <x:f>IF(G80="","",ROUNDUP(G80*3,0))</x:f>
        <x:v>225000</x:v>
      </x:c>
      <x:c r="I80" s="41" t="n">
        <x:v>1</x:v>
      </x:c>
      <x:c r="J80" s="42" t="n">
        <x:v>80</x:v>
      </x:c>
      <x:c r="K80" s="42" t="n">
        <x:v>120</x:v>
      </x:c>
      <x:c r="L80" s="42" t="n">
        <x:v>130</x:v>
      </x:c>
      <x:c r="M80" s="42" t="n">
        <x:v>55</x:v>
      </x:c>
      <x:c r="N80" s="42" t="n">
        <x:v>65</x:v>
      </x:c>
      <x:c r="O80" s="42" t="n">
        <x:v>45</x:v>
      </x:c>
      <x:c r="P80" s="43" t="n">
        <x:f>IF(COUNT(J80:O80)=0,"",SUM(J80:O80))</x:f>
        <x:v>495</x:v>
      </x:c>
      <x:c r="Q80" s="23" t="str">
        <x:v>3 lignes de spawn</x:v>
      </x:c>
      <x:c r="R80" s="23" t="str">
        <x:v>Les Grolem vivent dans les montagnes. Lorsqu'un grand tremblement de terre survient, ces Pokémon dévalent la montagne en masse jusqu'aux contreforts.</x:v>
      </x:c>
      <x:c r="S80" s="23" t="str"/>
      <x:c r="T80" s="23" t="str">
        <x:v>https://pixelmonmod.com/wiki/Golem</x:v>
      </x:c>
    </x:row>
    <x:row r="81" ht="54" customHeight="1">
      <x:c r="A81" s="27" t="n">
        <x:v>77</x:v>
      </x:c>
      <x:c r="B81" s="23" t="str">
        <x:v>Ponyta</x:v>
      </x:c>
      <x:c r="C81" s="23" t="str">
        <x:v>Ponyta</x:v>
      </x:c>
      <x:c r="D81" s="23" t="str">
        <x:v>Feu</x:v>
      </x:c>
      <x:c r="E81" s="23" t="str"/>
      <x:c r="F81" s="23" t="str">
        <x:v>Uncommon / Very Rare</x:v>
      </x:c>
      <x:c r="G81" s="45" t="n">
        <x:v>30000</x:v>
      </x:c>
      <x:c r="H81" s="45" t="n">
        <x:f>IF(G81="","",ROUNDUP(G81*3,0))</x:f>
        <x:v>90000</x:v>
      </x:c>
      <x:c r="I81" s="41" t="n">
        <x:v>0.4</x:v>
      </x:c>
      <x:c r="J81" s="42" t="n">
        <x:v>50</x:v>
      </x:c>
      <x:c r="K81" s="42" t="n">
        <x:v>85</x:v>
      </x:c>
      <x:c r="L81" s="42" t="n">
        <x:v>55</x:v>
      </x:c>
      <x:c r="M81" s="42" t="n">
        <x:v>65</x:v>
      </x:c>
      <x:c r="N81" s="42" t="n">
        <x:v>65</x:v>
      </x:c>
      <x:c r="O81" s="42" t="n">
        <x:v>90</x:v>
      </x:c>
      <x:c r="P81" s="43" t="n">
        <x:f>IF(COUNT(J81:O81)=0,"",SUM(J81:O81))</x:f>
        <x:v>410</x:v>
      </x:c>
      <x:c r="Q81" s="23" t="str">
        <x:v>5 lignes de spawn</x:v>
      </x:c>
      <x:c r="R81" s="23" t="str">
        <x:v>Ponyta est très faible à la naissance. Il peut à peine tenir debout. Ce Pokémon devient plus fort en trébuchant et en tombant pour tenter de suivre son parent.</x:v>
      </x:c>
      <x:c r="S81" s="23" t="str">
        <x:v>Égalité de fréquence; prix provisoire basé sur le palier le plus élevé. Very Rare aligné sur le palier Super Rare (provisoire).</x:v>
      </x:c>
      <x:c r="T81" s="23" t="str">
        <x:v>https://pixelmonmod.com/wiki/Ponyta</x:v>
      </x:c>
    </x:row>
    <x:row r="82" ht="54" customHeight="1">
      <x:c r="A82" s="27" t="n">
        <x:v>78</x:v>
      </x:c>
      <x:c r="B82" s="23" t="str">
        <x:v>Galopa</x:v>
      </x:c>
      <x:c r="C82" s="23" t="str">
        <x:v>Rapidash</x:v>
      </x:c>
      <x:c r="D82" s="23" t="str">
        <x:v>Feu</x:v>
      </x:c>
      <x:c r="E82" s="23" t="str"/>
      <x:c r="F82" s="23" t="str">
        <x:v>Ultra Rare</x:v>
      </x:c>
      <x:c r="G82" s="45" t="n">
        <x:v>75000</x:v>
      </x:c>
      <x:c r="H82" s="45" t="n">
        <x:f>IF(G82="","",ROUNDUP(G82*3,0))</x:f>
        <x:v>225000</x:v>
      </x:c>
      <x:c r="I82" s="41" t="n">
        <x:v>1</x:v>
      </x:c>
      <x:c r="J82" s="42" t="n">
        <x:v>65</x:v>
      </x:c>
      <x:c r="K82" s="42" t="n">
        <x:v>100</x:v>
      </x:c>
      <x:c r="L82" s="42" t="n">
        <x:v>70</x:v>
      </x:c>
      <x:c r="M82" s="42" t="n">
        <x:v>80</x:v>
      </x:c>
      <x:c r="N82" s="42" t="n">
        <x:v>80</x:v>
      </x:c>
      <x:c r="O82" s="42" t="n">
        <x:v>105</x:v>
      </x:c>
      <x:c r="P82" s="43" t="n">
        <x:f>IF(COUNT(J82:O82)=0,"",SUM(J82:O82))</x:f>
        <x:v>500</x:v>
      </x:c>
      <x:c r="Q82" s="23" t="str">
        <x:v>5 lignes de spawn</x:v>
      </x:c>
      <x:c r="R82" s="23" t="str">
        <x:v>On peut souvent voir Galopa trotter tranquillement dans les champs et les plaines. Mais lorsqu'il devient sérieux, sa crinière de flammes s'embrase et il galope jusqu'à 240 km/h.</x:v>
      </x:c>
      <x:c r="S82" s="23" t="str"/>
      <x:c r="T82" s="23" t="str">
        <x:v>https://pixelmonmod.com/wiki/Rapidash</x:v>
      </x:c>
    </x:row>
    <x:row r="83" ht="54" customHeight="1">
      <x:c r="A83" s="27" t="n">
        <x:v>79</x:v>
      </x:c>
      <x:c r="B83" s="23" t="str">
        <x:v>Ramoloss</x:v>
      </x:c>
      <x:c r="C83" s="23" t="str">
        <x:v>Slowpoke</x:v>
      </x:c>
      <x:c r="D83" s="23" t="str">
        <x:v>Eau</x:v>
      </x:c>
      <x:c r="E83" s="23" t="str">
        <x:v>Psy</x:v>
      </x:c>
      <x:c r="F83" s="23" t="str">
        <x:v>Uncommon</x:v>
      </x:c>
      <x:c r="G83" s="45" t="n">
        <x:v>5000</x:v>
      </x:c>
      <x:c r="H83" s="45" t="n">
        <x:f>IF(G83="","",ROUNDUP(G83*3,0))</x:f>
        <x:v>15000</x:v>
      </x:c>
      <x:c r="I83" s="41" t="n">
        <x:v>0.727</x:v>
      </x:c>
      <x:c r="J83" s="42" t="n">
        <x:v>90</x:v>
      </x:c>
      <x:c r="K83" s="42" t="n">
        <x:v>65</x:v>
      </x:c>
      <x:c r="L83" s="42" t="n">
        <x:v>65</x:v>
      </x:c>
      <x:c r="M83" s="42" t="n">
        <x:v>40</x:v>
      </x:c>
      <x:c r="N83" s="42" t="n">
        <x:v>40</x:v>
      </x:c>
      <x:c r="O83" s="42" t="n">
        <x:v>15</x:v>
      </x:c>
      <x:c r="P83" s="43" t="n">
        <x:f>IF(COUNT(J83:O83)=0,"",SUM(J83:O83))</x:f>
        <x:v>315</x:v>
      </x:c>
      <x:c r="Q83" s="23" t="str">
        <x:v>22 lignes de spawn</x:v>
      </x:c>
      <x:c r="R83" s="23" t="str">
        <x:v>Ramoloss pêche ses proies en trempant sa queue dans la rivière. Mais il oublie souvent ce qu'il fait et peut passer une journée entière à flâner au bord de l'eau.</x:v>
      </x:c>
      <x:c r="S83" s="23" t="str"/>
      <x:c r="T83" s="23" t="str">
        <x:v>https://pixelmonmod.com/wiki/Slowpoke</x:v>
      </x:c>
    </x:row>
    <x:row r="84" ht="54" customHeight="1">
      <x:c r="A84" s="27" t="n">
        <x:v>80</x:v>
      </x:c>
      <x:c r="B84" s="23" t="str">
        <x:v>Flagadoss</x:v>
      </x:c>
      <x:c r="C84" s="23" t="str">
        <x:v>Slowbro</x:v>
      </x:c>
      <x:c r="D84" s="23" t="str">
        <x:v>Eau</x:v>
      </x:c>
      <x:c r="E84" s="23" t="str">
        <x:v>Psy</x:v>
      </x:c>
      <x:c r="F84" s="23" t="str">
        <x:v>Ultra Rare</x:v>
      </x:c>
      <x:c r="G84" s="45" t="n">
        <x:v>75000</x:v>
      </x:c>
      <x:c r="H84" s="45" t="n">
        <x:f>IF(G84="","",ROUNDUP(G84*3,0))</x:f>
        <x:v>225000</x:v>
      </x:c>
      <x:c r="I84" s="41" t="n">
        <x:v>1</x:v>
      </x:c>
      <x:c r="J84" s="42" t="n">
        <x:v>95</x:v>
      </x:c>
      <x:c r="K84" s="42" t="n">
        <x:v>75</x:v>
      </x:c>
      <x:c r="L84" s="42" t="n">
        <x:v>110</x:v>
      </x:c>
      <x:c r="M84" s="42" t="n">
        <x:v>100</x:v>
      </x:c>
      <x:c r="N84" s="42" t="n">
        <x:v>80</x:v>
      </x:c>
      <x:c r="O84" s="42" t="n">
        <x:v>30</x:v>
      </x:c>
      <x:c r="P84" s="43" t="n">
        <x:f>IF(COUNT(J84:O84)=0,"",SUM(J84:O84))</x:f>
        <x:v>490</x:v>
      </x:c>
      <x:c r="Q84" s="23" t="str">
        <x:v>20 lignes de spawn</x:v>
      </x:c>
      <x:c r="R84" s="23" t="str">
        <x:v>La queue de Flagadoss est mordue fermement par un Kokiyas, ce qui l'empêche de s'en servir pour pêcher. Il se résout donc à nager pour capturer ses proies.</x:v>
      </x:c>
      <x:c r="S84" s="23" t="str"/>
      <x:c r="T84" s="23" t="str">
        <x:v>https://pixelmonmod.com/wiki/Slowbro</x:v>
      </x:c>
    </x:row>
    <x:row r="85" ht="54" customHeight="1">
      <x:c r="A85" s="27" t="n">
        <x:v>81</x:v>
      </x:c>
      <x:c r="B85" s="23" t="str">
        <x:v>Magnéti</x:v>
      </x:c>
      <x:c r="C85" s="23" t="str">
        <x:v>Magnemite</x:v>
      </x:c>
      <x:c r="D85" s="23" t="str">
        <x:v>Électrik</x:v>
      </x:c>
      <x:c r="E85" s="23" t="str">
        <x:v>Acier</x:v>
      </x:c>
      <x:c r="F85" s="23" t="str">
        <x:v>Uncommon</x:v>
      </x:c>
      <x:c r="G85" s="45" t="n">
        <x:v>5000</x:v>
      </x:c>
      <x:c r="H85" s="45" t="n">
        <x:f>IF(G85="","",ROUNDUP(G85*3,0))</x:f>
        <x:v>15000</x:v>
      </x:c>
      <x:c r="I85" s="41" t="n">
        <x:v>1</x:v>
      </x:c>
      <x:c r="J85" s="42" t="n">
        <x:v>25</x:v>
      </x:c>
      <x:c r="K85" s="42" t="n">
        <x:v>35</x:v>
      </x:c>
      <x:c r="L85" s="42" t="n">
        <x:v>70</x:v>
      </x:c>
      <x:c r="M85" s="42" t="n">
        <x:v>95</x:v>
      </x:c>
      <x:c r="N85" s="42" t="n">
        <x:v>55</x:v>
      </x:c>
      <x:c r="O85" s="42" t="n">
        <x:v>45</x:v>
      </x:c>
      <x:c r="P85" s="43" t="n">
        <x:f>IF(COUNT(J85:O85)=0,"",SUM(J85:O85))</x:f>
        <x:v>325</x:v>
      </x:c>
      <x:c r="Q85" s="23" t="str">
        <x:v>3 lignes de spawn</x:v>
      </x:c>
      <x:c r="R85" s="23" t="str">
        <x:v>Magnéti se fixe aux lignes électriques pour se nourrir d'électricité. Si votre maison subit une panne, vérifiez votre disjoncteur : vous pourriez y trouver un grand nombre de ces Pokémon accrochés.</x:v>
      </x:c>
      <x:c r="S85" s="23" t="str"/>
      <x:c r="T85" s="23" t="str">
        <x:v>https://pixelmonmod.com/wiki/Magnemite</x:v>
      </x:c>
    </x:row>
    <x:row r="86" ht="54" customHeight="1">
      <x:c r="A86" s="27" t="n">
        <x:v>82</x:v>
      </x:c>
      <x:c r="B86" s="23" t="str">
        <x:v>Magnéton</x:v>
      </x:c>
      <x:c r="C86" s="23" t="str">
        <x:v>Magneton</x:v>
      </x:c>
      <x:c r="D86" s="23" t="str">
        <x:v>Électrik</x:v>
      </x:c>
      <x:c r="E86" s="23" t="str">
        <x:v>Acier</x:v>
      </x:c>
      <x:c r="F86" s="23" t="str">
        <x:v>Ultra Rare</x:v>
      </x:c>
      <x:c r="G86" s="45" t="n">
        <x:v>75000</x:v>
      </x:c>
      <x:c r="H86" s="45" t="n">
        <x:f>IF(G86="","",ROUNDUP(G86*3,0))</x:f>
        <x:v>225000</x:v>
      </x:c>
      <x:c r="I86" s="41" t="n">
        <x:v>0.5</x:v>
      </x:c>
      <x:c r="J86" s="42" t="n">
        <x:v>50</x:v>
      </x:c>
      <x:c r="K86" s="42" t="n">
        <x:v>60</x:v>
      </x:c>
      <x:c r="L86" s="42" t="n">
        <x:v>95</x:v>
      </x:c>
      <x:c r="M86" s="42" t="n">
        <x:v>120</x:v>
      </x:c>
      <x:c r="N86" s="42" t="n">
        <x:v>70</x:v>
      </x:c>
      <x:c r="O86" s="42" t="n">
        <x:v>70</x:v>
      </x:c>
      <x:c r="P86" s="43" t="n">
        <x:f>IF(COUNT(J86:O86)=0,"",SUM(J86:O86))</x:f>
        <x:v>465</x:v>
      </x:c>
      <x:c r="Q86" s="23" t="str">
        <x:v>6 lignes de spawn</x:v>
      </x:c>
      <x:c r="R86" s="23" t="str">
        <x:v>Magnéton émet une force magnétique puissante, fatale aux appareils mécaniques. Les grandes villes déclenchent des sirènes pour avertir la population lorsque ce Pokémon prolifère.</x:v>
      </x:c>
      <x:c r="S86" s="23" t="str"/>
      <x:c r="T86" s="23" t="str">
        <x:v>https://pixelmonmod.com/wiki/Magneton</x:v>
      </x:c>
    </x:row>
    <x:row r="87" ht="54" customHeight="1">
      <x:c r="A87" s="27" t="n">
        <x:v>83</x:v>
      </x:c>
      <x:c r="B87" s="23" t="str">
        <x:v>Canarticho</x:v>
      </x:c>
      <x:c r="C87" s="23" t="str">
        <x:v>Farfetch'd</x:v>
      </x:c>
      <x:c r="D87" s="23" t="str">
        <x:v>Normal</x:v>
      </x:c>
      <x:c r="E87" s="23" t="str">
        <x:v>Vol</x:v>
      </x:c>
      <x:c r="F87" s="23" t="str">
        <x:v>Rare</x:v>
      </x:c>
      <x:c r="G87" s="45" t="n">
        <x:v>12000</x:v>
      </x:c>
      <x:c r="H87" s="45" t="n">
        <x:f>IF(G87="","",ROUNDUP(G87*3,0))</x:f>
        <x:v>36000</x:v>
      </x:c>
      <x:c r="I87" s="41" t="n">
        <x:v>1</x:v>
      </x:c>
      <x:c r="J87" s="42" t="n">
        <x:v>52</x:v>
      </x:c>
      <x:c r="K87" s="42" t="n">
        <x:v>90</x:v>
      </x:c>
      <x:c r="L87" s="42" t="n">
        <x:v>55</x:v>
      </x:c>
      <x:c r="M87" s="42" t="n">
        <x:v>58</x:v>
      </x:c>
      <x:c r="N87" s="42" t="n">
        <x:v>62</x:v>
      </x:c>
      <x:c r="O87" s="42" t="n">
        <x:v>60</x:v>
      </x:c>
      <x:c r="P87" s="43" t="n">
        <x:f>IF(COUNT(J87:O87)=0,"",SUM(J87:O87))</x:f>
        <x:v>377</x:v>
      </x:c>
      <x:c r="Q87" s="23" t="str">
        <x:v>6 lignes de spawn</x:v>
      </x:c>
      <x:c r="R87" s="23" t="str">
        <x:v>Canarticho est toujours vu avec un poireau. Il existe apparemment de bons et de mauvais poireaux. Ce Pokémon se bat parfois avec d'autres pour s'en emparer.</x:v>
      </x:c>
      <x:c r="S87" s="23" t="str"/>
      <x:c r="T87" s="23" t="str">
        <x:v>https://pixelmonmod.com/wiki/Farfetch%27d</x:v>
      </x:c>
    </x:row>
    <x:row r="88" ht="54" customHeight="1">
      <x:c r="A88" s="27" t="n">
        <x:v>84</x:v>
      </x:c>
      <x:c r="B88" s="23" t="str">
        <x:v>Doduo</x:v>
      </x:c>
      <x:c r="C88" s="23" t="str">
        <x:v>Doduo</x:v>
      </x:c>
      <x:c r="D88" s="23" t="str">
        <x:v>Normal</x:v>
      </x:c>
      <x:c r="E88" s="23" t="str">
        <x:v>Vol</x:v>
      </x:c>
      <x:c r="F88" s="23" t="str">
        <x:v>Uncommon / Ultra Rare</x:v>
      </x:c>
      <x:c r="G88" s="45" t="n">
        <x:v>75000</x:v>
      </x:c>
      <x:c r="H88" s="45" t="n">
        <x:f>IF(G88="","",ROUNDUP(G88*3,0))</x:f>
        <x:v>225000</x:v>
      </x:c>
      <x:c r="I88" s="41" t="n">
        <x:v>0.5</x:v>
      </x:c>
      <x:c r="J88" s="42" t="n">
        <x:v>35</x:v>
      </x:c>
      <x:c r="K88" s="42" t="n">
        <x:v>85</x:v>
      </x:c>
      <x:c r="L88" s="42" t="n">
        <x:v>45</x:v>
      </x:c>
      <x:c r="M88" s="42" t="n">
        <x:v>35</x:v>
      </x:c>
      <x:c r="N88" s="42" t="n">
        <x:v>35</x:v>
      </x:c>
      <x:c r="O88" s="42" t="n">
        <x:v>75</x:v>
      </x:c>
      <x:c r="P88" s="43" t="n">
        <x:f>IF(COUNT(J88:O88)=0,"",SUM(J88:O88))</x:f>
        <x:v>310</x:v>
      </x:c>
      <x:c r="Q88" s="23" t="str">
        <x:v>2 lignes de spawn</x:v>
      </x:c>
      <x:c r="R88" s="23" t="str">
        <x:v>Les deux têtes de Doduo ne dorment jamais en même temps. Elles alternent leur sommeil, permettant à l'une de veiller pendant que l'autre se repose.</x:v>
      </x:c>
      <x:c r="S88" s="23" t="str">
        <x:v>Égalité de fréquence; prix provisoire basé sur le palier le plus élevé.</x:v>
      </x:c>
      <x:c r="T88" s="23" t="str">
        <x:v>https://pixelmonmod.com/wiki/Doduo</x:v>
      </x:c>
    </x:row>
    <x:row r="89" ht="54" customHeight="1">
      <x:c r="A89" s="27" t="n">
        <x:v>85</x:v>
      </x:c>
      <x:c r="B89" s="23" t="str">
        <x:v>Dodrio</x:v>
      </x:c>
      <x:c r="C89" s="23" t="str">
        <x:v>Dodrio</x:v>
      </x:c>
      <x:c r="D89" s="23" t="str">
        <x:v>Normal</x:v>
      </x:c>
      <x:c r="E89" s="23" t="str">
        <x:v>Vol</x:v>
      </x:c>
      <x:c r="F89" s="23" t="str">
        <x:v>Ultra Rare</x:v>
      </x:c>
      <x:c r="G89" s="45" t="n">
        <x:v>75000</x:v>
      </x:c>
      <x:c r="H89" s="45" t="n">
        <x:f>IF(G89="","",ROUNDUP(G89*3,0))</x:f>
        <x:v>225000</x:v>
      </x:c>
      <x:c r="I89" s="41" t="n">
        <x:v>1</x:v>
      </x:c>
      <x:c r="J89" s="42" t="n">
        <x:v>60</x:v>
      </x:c>
      <x:c r="K89" s="42" t="n">
        <x:v>110</x:v>
      </x:c>
      <x:c r="L89" s="42" t="n">
        <x:v>70</x:v>
      </x:c>
      <x:c r="M89" s="42" t="n">
        <x:v>60</x:v>
      </x:c>
      <x:c r="N89" s="42" t="n">
        <x:v>60</x:v>
      </x:c>
      <x:c r="O89" s="42" t="n">
        <x:v>110</x:v>
      </x:c>
      <x:c r="P89" s="43" t="n">
        <x:f>IF(COUNT(J89:O89)=0,"",SUM(J89:O89))</x:f>
        <x:v>470</x:v>
      </x:c>
      <x:c r="Q89" s="23" t="str">
        <x:v>2 lignes de spawn</x:v>
      </x:c>
      <x:c r="R89" s="23" t="str">
        <x:v>Attention si les trois têtes de Dodrio regardent dans trois directions différentes : c'est le signe qu'il est sur ses gardes. Ne vous approchez pas de ce Pokémon lorsqu'il est méfiant, il pourrait décider de vous picorer.</x:v>
      </x:c>
      <x:c r="S89" s="23" t="str"/>
      <x:c r="T89" s="23" t="str">
        <x:v>https://pixelmonmod.com/wiki/Dodrio</x:v>
      </x:c>
    </x:row>
    <x:row r="90" ht="54" customHeight="1">
      <x:c r="A90" s="27" t="n">
        <x:v>86</x:v>
      </x:c>
      <x:c r="B90" s="23" t="str">
        <x:v>Otaria</x:v>
      </x:c>
      <x:c r="C90" s="23" t="str">
        <x:v>Seel</x:v>
      </x:c>
      <x:c r="D90" s="23" t="str">
        <x:v>Eau</x:v>
      </x:c>
      <x:c r="E90" s="23" t="str"/>
      <x:c r="F90" s="23" t="str">
        <x:v>Uncommon</x:v>
      </x:c>
      <x:c r="G90" s="45" t="n">
        <x:v>5000</x:v>
      </x:c>
      <x:c r="H90" s="45" t="n">
        <x:f>IF(G90="","",ROUNDUP(G90*3,0))</x:f>
        <x:v>15000</x:v>
      </x:c>
      <x:c r="I90" s="41" t="n">
        <x:v>0.889</x:v>
      </x:c>
      <x:c r="J90" s="42" t="n">
        <x:v>65</x:v>
      </x:c>
      <x:c r="K90" s="42" t="n">
        <x:v>45</x:v>
      </x:c>
      <x:c r="L90" s="42" t="n">
        <x:v>55</x:v>
      </x:c>
      <x:c r="M90" s="42" t="n">
        <x:v>45</x:v>
      </x:c>
      <x:c r="N90" s="42" t="n">
        <x:v>70</x:v>
      </x:c>
      <x:c r="O90" s="42" t="n">
        <x:v>45</x:v>
      </x:c>
      <x:c r="P90" s="43" t="n">
        <x:f>IF(COUNT(J90:O90)=0,"",SUM(J90:O90))</x:f>
        <x:v>325</x:v>
      </x:c>
      <x:c r="Q90" s="23" t="str">
        <x:v>9 lignes de spawn</x:v>
      </x:c>
      <x:c r="R90" s="23" t="str">
        <x:v>Otaria chasse ses proies dans les mers glacées sous la banquise. Pour respirer, il perce la glace grâce à la corne pointue sur sa tête.</x:v>
      </x:c>
      <x:c r="S90" s="23" t="str"/>
      <x:c r="T90" s="23" t="str">
        <x:v>https://pixelmonmod.com/wiki/Seel</x:v>
      </x:c>
    </x:row>
    <x:row r="91" ht="54" customHeight="1">
      <x:c r="A91" s="27" t="n">
        <x:v>87</x:v>
      </x:c>
      <x:c r="B91" s="23" t="str">
        <x:v>Lamantine</x:v>
      </x:c>
      <x:c r="C91" s="23" t="str">
        <x:v>Dewgong</x:v>
      </x:c>
      <x:c r="D91" s="23" t="str">
        <x:v>Eau</x:v>
      </x:c>
      <x:c r="E91" s="23" t="str">
        <x:v>Glace</x:v>
      </x:c>
      <x:c r="F91" s="23" t="str">
        <x:v>Ultra Rare</x:v>
      </x:c>
      <x:c r="G91" s="45" t="n">
        <x:v>75000</x:v>
      </x:c>
      <x:c r="H91" s="45" t="n">
        <x:f>IF(G91="","",ROUNDUP(G91*3,0))</x:f>
        <x:v>225000</x:v>
      </x:c>
      <x:c r="I91" s="41" t="n">
        <x:v>0.889</x:v>
      </x:c>
      <x:c r="J91" s="42" t="n">
        <x:v>90</x:v>
      </x:c>
      <x:c r="K91" s="42" t="n">
        <x:v>70</x:v>
      </x:c>
      <x:c r="L91" s="42" t="n">
        <x:v>80</x:v>
      </x:c>
      <x:c r="M91" s="42" t="n">
        <x:v>70</x:v>
      </x:c>
      <x:c r="N91" s="42" t="n">
        <x:v>95</x:v>
      </x:c>
      <x:c r="O91" s="42" t="n">
        <x:v>70</x:v>
      </x:c>
      <x:c r="P91" s="43" t="n">
        <x:f>IF(COUNT(J91:O91)=0,"",SUM(J91:O91))</x:f>
        <x:v>475</x:v>
      </x:c>
      <x:c r="Q91" s="23" t="str">
        <x:v>9 lignes de spawn</x:v>
      </x:c>
      <x:c r="R91" s="23" t="str">
        <x:v>Lamantine adore somnoler sur la glace glaciale. Autrefois, un marin aperçut ce Pokémon endormi sur un glacier et le prit par erreur pour une sirène.</x:v>
      </x:c>
      <x:c r="S91" s="23" t="str"/>
      <x:c r="T91" s="23" t="str">
        <x:v>https://pixelmonmod.com/wiki/Dewgong</x:v>
      </x:c>
    </x:row>
    <x:row r="92" ht="54" customHeight="1">
      <x:c r="A92" s="27" t="n">
        <x:v>88</x:v>
      </x:c>
      <x:c r="B92" s="23" t="str">
        <x:v>Tadmorv</x:v>
      </x:c>
      <x:c r="C92" s="23" t="str">
        <x:v>Grimer</x:v>
      </x:c>
      <x:c r="D92" s="23" t="str">
        <x:v>Poison</x:v>
      </x:c>
      <x:c r="E92" s="23" t="str"/>
      <x:c r="F92" s="23" t="str">
        <x:v>Uncommon</x:v>
      </x:c>
      <x:c r="G92" s="45" t="n">
        <x:v>5000</x:v>
      </x:c>
      <x:c r="H92" s="45" t="n">
        <x:f>IF(G92="","",ROUNDUP(G92*3,0))</x:f>
        <x:v>15000</x:v>
      </x:c>
      <x:c r="I92" s="41" t="n">
        <x:v>0.41200000000000003</x:v>
      </x:c>
      <x:c r="J92" s="42" t="n">
        <x:v>80</x:v>
      </x:c>
      <x:c r="K92" s="42" t="n">
        <x:v>80</x:v>
      </x:c>
      <x:c r="L92" s="42" t="n">
        <x:v>50</x:v>
      </x:c>
      <x:c r="M92" s="42" t="n">
        <x:v>40</x:v>
      </x:c>
      <x:c r="N92" s="42" t="n">
        <x:v>50</x:v>
      </x:c>
      <x:c r="O92" s="42" t="n">
        <x:v>25</x:v>
      </x:c>
      <x:c r="P92" s="43" t="n">
        <x:f>IF(COUNT(J92:O92)=0,"",SUM(J92:O92))</x:f>
        <x:v>325</x:v>
      </x:c>
      <x:c r="Q92" s="23" t="str">
        <x:v>17 lignes de spawn</x:v>
      </x:c>
      <x:c r="R92" s="23" t="str">
        <x:v>Le corps gélatineux et visqueux de Tadmorv peut se faufiler dans n'importe quelle ouverture, aussi petite soit-elle. Ce Pokémon entre dans les tuyaux d'égout pour boire leurs eaux usées.</x:v>
      </x:c>
      <x:c r="S92" s="23" t="str"/>
      <x:c r="T92" s="23" t="str">
        <x:v>https://pixelmonmod.com/wiki/Grimer</x:v>
      </x:c>
    </x:row>
    <x:row r="93" ht="54" customHeight="1">
      <x:c r="A93" s="27" t="n">
        <x:v>89</x:v>
      </x:c>
      <x:c r="B93" s="23" t="str">
        <x:v>Grotadmorv</x:v>
      </x:c>
      <x:c r="C93" s="23" t="str">
        <x:v>Muk</x:v>
      </x:c>
      <x:c r="D93" s="23" t="str">
        <x:v>Poison</x:v>
      </x:c>
      <x:c r="E93" s="23" t="str"/>
      <x:c r="F93" s="23" t="str">
        <x:v>Ultra Rare</x:v>
      </x:c>
      <x:c r="G93" s="45" t="n">
        <x:v>75000</x:v>
      </x:c>
      <x:c r="H93" s="45" t="n">
        <x:f>IF(G93="","",ROUNDUP(G93*3,0))</x:f>
        <x:v>225000</x:v>
      </x:c>
      <x:c r="I93" s="41" t="n">
        <x:v>1</x:v>
      </x:c>
      <x:c r="J93" s="42" t="n">
        <x:v>105</x:v>
      </x:c>
      <x:c r="K93" s="42" t="n">
        <x:v>105</x:v>
      </x:c>
      <x:c r="L93" s="42" t="n">
        <x:v>75</x:v>
      </x:c>
      <x:c r="M93" s="42" t="n">
        <x:v>65</x:v>
      </x:c>
      <x:c r="N93" s="42" t="n">
        <x:v>100</x:v>
      </x:c>
      <x:c r="O93" s="42" t="n">
        <x:v>50</x:v>
      </x:c>
      <x:c r="P93" s="43" t="n">
        <x:f>IF(COUNT(J93:O93)=0,"",SUM(J93:O93))</x:f>
        <x:v>500</x:v>
      </x:c>
      <x:c r="Q93" s="23" t="str">
        <x:v>16 lignes de spawn</x:v>
      </x:c>
      <x:c r="R93" s="23" t="str">
        <x:v>Le corps de Grotadmorv suinte un fluide nauséabond dégageant une odeur infecte. Une seule goutte de ce liquide suffit à rendre une mare stagnante et putride.</x:v>
      </x:c>
      <x:c r="S93" s="23" t="str"/>
      <x:c r="T93" s="23" t="str">
        <x:v>https://pixelmonmod.com/wiki/Muk</x:v>
      </x:c>
    </x:row>
    <x:row r="94" ht="54" customHeight="1">
      <x:c r="A94" s="27" t="n">
        <x:v>90</x:v>
      </x:c>
      <x:c r="B94" s="23" t="str">
        <x:v>Kokiyas</x:v>
      </x:c>
      <x:c r="C94" s="23" t="str">
        <x:v>Shellder</x:v>
      </x:c>
      <x:c r="D94" s="23" t="str">
        <x:v>Eau</x:v>
      </x:c>
      <x:c r="E94" s="23" t="str"/>
      <x:c r="F94" s="23" t="str">
        <x:v>Uncommon</x:v>
      </x:c>
      <x:c r="G94" s="45" t="n">
        <x:v>5000</x:v>
      </x:c>
      <x:c r="H94" s="45" t="n">
        <x:f>IF(G94="","",ROUNDUP(G94*3,0))</x:f>
        <x:v>15000</x:v>
      </x:c>
      <x:c r="I94" s="41" t="n">
        <x:v>0.5710000000000001</x:v>
      </x:c>
      <x:c r="J94" s="42" t="n">
        <x:v>30</x:v>
      </x:c>
      <x:c r="K94" s="42" t="n">
        <x:v>65</x:v>
      </x:c>
      <x:c r="L94" s="42" t="n">
        <x:v>100</x:v>
      </x:c>
      <x:c r="M94" s="42" t="n">
        <x:v>45</x:v>
      </x:c>
      <x:c r="N94" s="42" t="n">
        <x:v>25</x:v>
      </x:c>
      <x:c r="O94" s="42" t="n">
        <x:v>40</x:v>
      </x:c>
      <x:c r="P94" s="43" t="n">
        <x:f>IF(COUNT(J94:O94)=0,"",SUM(J94:O94))</x:f>
        <x:v>305</x:v>
      </x:c>
      <x:c r="Q94" s="23" t="str">
        <x:v>7 lignes de spawn</x:v>
      </x:c>
      <x:c r="R94" s="23" t="str">
        <x:v>La nuit, ce Pokémon utilise sa large langue pour creuser un trou dans le sable au fond de la mer et y dort. Pendant son sommeil, Kokiyas referme sa coquille, mais laisse sa langue dépasser.</x:v>
      </x:c>
      <x:c r="S94" s="23" t="str"/>
      <x:c r="T94" s="23" t="str">
        <x:v>https://pixelmonmod.com/wiki/Shellder</x:v>
      </x:c>
    </x:row>
    <x:row r="95" ht="54" customHeight="1">
      <x:c r="A95" s="27" t="n">
        <x:v>91</x:v>
      </x:c>
      <x:c r="B95" s="23" t="str">
        <x:v>Crustabri</x:v>
      </x:c>
      <x:c r="C95" s="23" t="str">
        <x:v>Cloyster</x:v>
      </x:c>
      <x:c r="D95" s="23" t="str">
        <x:v>Eau</x:v>
      </x:c>
      <x:c r="E95" s="23" t="str">
        <x:v>Glace</x:v>
      </x:c>
      <x:c r="F95" s="23" t="str">
        <x:v>Ultra Rare</x:v>
      </x:c>
      <x:c r="G95" s="45" t="n">
        <x:v>75000</x:v>
      </x:c>
      <x:c r="H95" s="45" t="n">
        <x:f>IF(G95="","",ROUNDUP(G95*3,0))</x:f>
        <x:v>225000</x:v>
      </x:c>
      <x:c r="I95" s="41" t="n">
        <x:v>1</x:v>
      </x:c>
      <x:c r="J95" s="42" t="n">
        <x:v>50</x:v>
      </x:c>
      <x:c r="K95" s="42" t="n">
        <x:v>95</x:v>
      </x:c>
      <x:c r="L95" s="42" t="n">
        <x:v>180</x:v>
      </x:c>
      <x:c r="M95" s="42" t="n">
        <x:v>85</x:v>
      </x:c>
      <x:c r="N95" s="42" t="n">
        <x:v>45</x:v>
      </x:c>
      <x:c r="O95" s="42" t="n">
        <x:v>70</x:v>
      </x:c>
      <x:c r="P95" s="43" t="n">
        <x:f>IF(COUNT(J95:O95)=0,"",SUM(J95:O95))</x:f>
        <x:v>525</x:v>
      </x:c>
      <x:c r="Q95" s="23" t="str">
        <x:v>2 lignes de spawn</x:v>
      </x:c>
      <x:c r="R95" s="23" t="str">
        <x:v>Crustabri peut nager dans la mer. Il avale de l'eau, puis la propulse vers l'arrière. Il utilise le même mécanisme pour tirer les piques de sa coquille.</x:v>
      </x:c>
      <x:c r="S95" s="23" t="str"/>
      <x:c r="T95" s="23" t="str">
        <x:v>https://pixelmonmod.com/wiki/Cloyster</x:v>
      </x:c>
    </x:row>
    <x:row r="96" ht="54" customHeight="1">
      <x:c r="A96" s="27" t="n">
        <x:v>92</x:v>
      </x:c>
      <x:c r="B96" s="23" t="str">
        <x:v>Fantominus</x:v>
      </x:c>
      <x:c r="C96" s="23" t="str">
        <x:v>Gastly</x:v>
      </x:c>
      <x:c r="D96" s="23" t="str">
        <x:v>Spectre</x:v>
      </x:c>
      <x:c r="E96" s="23" t="str">
        <x:v>Poison</x:v>
      </x:c>
      <x:c r="F96" s="23" t="str">
        <x:v>Uncommon</x:v>
      </x:c>
      <x:c r="G96" s="45" t="n">
        <x:v>5000</x:v>
      </x:c>
      <x:c r="H96" s="45" t="n">
        <x:f>IF(G96="","",ROUNDUP(G96*3,0))</x:f>
        <x:v>15000</x:v>
      </x:c>
      <x:c r="I96" s="41" t="n">
        <x:v>1</x:v>
      </x:c>
      <x:c r="J96" s="42" t="n">
        <x:v>30</x:v>
      </x:c>
      <x:c r="K96" s="42" t="n">
        <x:v>35</x:v>
      </x:c>
      <x:c r="L96" s="42" t="n">
        <x:v>30</x:v>
      </x:c>
      <x:c r="M96" s="42" t="n">
        <x:v>100</x:v>
      </x:c>
      <x:c r="N96" s="42" t="n">
        <x:v>35</x:v>
      </x:c>
      <x:c r="O96" s="42" t="n">
        <x:v>80</x:v>
      </x:c>
      <x:c r="P96" s="43" t="n">
        <x:f>IF(COUNT(J96:O96)=0,"",SUM(J96:O96))</x:f>
        <x:v>310</x:v>
      </x:c>
      <x:c r="Q96" s="23" t="str">
        <x:v>6 lignes de spawn</x:v>
      </x:c>
      <x:c r="R96" s="23" t="str">
        <x:v>Fantominus est principalement composé de gaz. Exposé à un vent fort, son corps gazeux se disperse rapidement. Des groupes de ce Pokémon se rassemblent sous les avant-toits pour échapper aux bourrasques.</x:v>
      </x:c>
      <x:c r="S96" s="23" t="str"/>
      <x:c r="T96" s="23" t="str">
        <x:v>https://pixelmonmod.com/wiki/Gastly</x:v>
      </x:c>
    </x:row>
    <x:row r="97" ht="54" customHeight="1">
      <x:c r="A97" s="27" t="n">
        <x:v>93</x:v>
      </x:c>
      <x:c r="B97" s="23" t="str">
        <x:v>Spectrum</x:v>
      </x:c>
      <x:c r="C97" s="23" t="str">
        <x:v>Haunter</x:v>
      </x:c>
      <x:c r="D97" s="23" t="str">
        <x:v>Spectre</x:v>
      </x:c>
      <x:c r="E97" s="23" t="str">
        <x:v>Poison</x:v>
      </x:c>
      <x:c r="F97" s="23" t="str">
        <x:v>Ultra Rare</x:v>
      </x:c>
      <x:c r="G97" s="45" t="n">
        <x:v>75000</x:v>
      </x:c>
      <x:c r="H97" s="45" t="n">
        <x:f>IF(G97="","",ROUNDUP(G97*3,0))</x:f>
        <x:v>225000</x:v>
      </x:c>
      <x:c r="I97" s="41" t="n">
        <x:v>1</x:v>
      </x:c>
      <x:c r="J97" s="42" t="n">
        <x:v>45</x:v>
      </x:c>
      <x:c r="K97" s="42" t="n">
        <x:v>50</x:v>
      </x:c>
      <x:c r="L97" s="42" t="n">
        <x:v>45</x:v>
      </x:c>
      <x:c r="M97" s="42" t="n">
        <x:v>115</x:v>
      </x:c>
      <x:c r="N97" s="42" t="n">
        <x:v>55</x:v>
      </x:c>
      <x:c r="O97" s="42" t="n">
        <x:v>95</x:v>
      </x:c>
      <x:c r="P97" s="43" t="n">
        <x:f>IF(COUNT(J97:O97)=0,"",SUM(J97:O97))</x:f>
        <x:v>405</x:v>
      </x:c>
      <x:c r="Q97" s="23" t="str">
        <x:v>6 lignes de spawn</x:v>
      </x:c>
      <x:c r="R97" s="23" t="str">
        <x:v>Spectrum est un Pokémon dangereux. S'il vous fait signe alors qu'il flotte dans les ténèbres, n'approchez surtout pas. Il tentera de vous lécher avec sa langue pour absorber votre vie.</x:v>
      </x:c>
      <x:c r="S97" s="23" t="str"/>
      <x:c r="T97" s="23" t="str">
        <x:v>https://pixelmonmod.com/wiki/Haunter</x:v>
      </x:c>
    </x:row>
    <x:row r="98" ht="54" customHeight="1">
      <x:c r="A98" s="27" t="n">
        <x:v>94</x:v>
      </x:c>
      <x:c r="B98" s="23" t="str">
        <x:v>Ectoplasma</x:v>
      </x:c>
      <x:c r="C98" s="23" t="str">
        <x:v>Gengar</x:v>
      </x:c>
      <x:c r="D98" s="23" t="str">
        <x:v>Spectre</x:v>
      </x:c>
      <x:c r="E98" s="23" t="str">
        <x:v>Poison</x:v>
      </x:c>
      <x:c r="F98" s="23" t="str">
        <x:v>Ultra Rare</x:v>
      </x:c>
      <x:c r="G98" s="45" t="n">
        <x:v>75000</x:v>
      </x:c>
      <x:c r="H98" s="45" t="n">
        <x:f>IF(G98="","",ROUNDUP(G98*3,0))</x:f>
        <x:v>225000</x:v>
      </x:c>
      <x:c r="I98" s="41" t="n">
        <x:v>1</x:v>
      </x:c>
      <x:c r="J98" s="42" t="n">
        <x:v>60</x:v>
      </x:c>
      <x:c r="K98" s="42" t="n">
        <x:v>65</x:v>
      </x:c>
      <x:c r="L98" s="42" t="n">
        <x:v>60</x:v>
      </x:c>
      <x:c r="M98" s="42" t="n">
        <x:v>130</x:v>
      </x:c>
      <x:c r="N98" s="42" t="n">
        <x:v>75</x:v>
      </x:c>
      <x:c r="O98" s="42" t="n">
        <x:v>110</x:v>
      </x:c>
      <x:c r="P98" s="43" t="n">
        <x:f>IF(COUNT(J98:O98)=0,"",SUM(J98:O98))</x:f>
        <x:v>500</x:v>
      </x:c>
      <x:c r="Q98" s="23" t="str">
        <x:v>6 lignes de spawn</x:v>
      </x:c>
      <x:c r="R98" s="23" t="str">
        <x:v>Parfois, lors d'une nuit sombre, votre ombre projetée par un lampadaire vous dépasse soudainement et vous surprend. C'est en réalité un Ectoplasma qui passe en courant, prétendant être votre ombre.</x:v>
      </x:c>
      <x:c r="S98" s="23" t="str"/>
      <x:c r="T98" s="23" t="str">
        <x:v>https://pixelmonmod.com/wiki/Gengar</x:v>
      </x:c>
    </x:row>
    <x:row r="99" ht="54" customHeight="1">
      <x:c r="A99" s="27" t="n">
        <x:v>95</x:v>
      </x:c>
      <x:c r="B99" s="23" t="str">
        <x:v>Onix</x:v>
      </x:c>
      <x:c r="C99" s="23" t="str">
        <x:v>Onix</x:v>
      </x:c>
      <x:c r="D99" s="23" t="str">
        <x:v>Roche</x:v>
      </x:c>
      <x:c r="E99" s="23" t="str">
        <x:v>Sol</x:v>
      </x:c>
      <x:c r="F99" s="23" t="str">
        <x:v>Rare / Ultra Rare</x:v>
      </x:c>
      <x:c r="G99" s="45" t="n">
        <x:v>75000</x:v>
      </x:c>
      <x:c r="H99" s="45" t="n">
        <x:f>IF(G99="","",ROUNDUP(G99*3,0))</x:f>
        <x:v>225000</x:v>
      </x:c>
      <x:c r="I99" s="41" t="n">
        <x:v>0.5</x:v>
      </x:c>
      <x:c r="J99" s="42" t="n">
        <x:v>35</x:v>
      </x:c>
      <x:c r="K99" s="42" t="n">
        <x:v>45</x:v>
      </x:c>
      <x:c r="L99" s="42" t="n">
        <x:v>160</x:v>
      </x:c>
      <x:c r="M99" s="42" t="n">
        <x:v>30</x:v>
      </x:c>
      <x:c r="N99" s="42" t="n">
        <x:v>45</x:v>
      </x:c>
      <x:c r="O99" s="42" t="n">
        <x:v>70</x:v>
      </x:c>
      <x:c r="P99" s="43" t="n">
        <x:f>IF(COUNT(J99:O99)=0,"",SUM(J99:O99))</x:f>
        <x:v>385</x:v>
      </x:c>
      <x:c r="Q99" s="23" t="str">
        <x:v>4 lignes de spawn</x:v>
      </x:c>
      <x:c r="R99" s="23" t="str">
        <x:v>Onix possède un aimant dans son cerveau. Celui-ci lui sert de boussole afin qu'il ne perde pas le nord lorsqu'il creuse des tunnels. En vieillissant, son corps devient de plus en plus arrondi et lisse.</x:v>
      </x:c>
      <x:c r="S99" s="23" t="str">
        <x:v>Égalité de fréquence; prix provisoire basé sur le palier le plus élevé.</x:v>
      </x:c>
      <x:c r="T99" s="23" t="str">
        <x:v>https://pixelmonmod.com/wiki/Onix</x:v>
      </x:c>
    </x:row>
    <x:row r="100" ht="54" customHeight="1">
      <x:c r="A100" s="27" t="n">
        <x:v>96</x:v>
      </x:c>
      <x:c r="B100" s="23" t="str">
        <x:v>Soporifik</x:v>
      </x:c>
      <x:c r="C100" s="23" t="str">
        <x:v>Drowzee</x:v>
      </x:c>
      <x:c r="D100" s="23" t="str">
        <x:v>Psy</x:v>
      </x:c>
      <x:c r="E100" s="23" t="str"/>
      <x:c r="F100" s="23" t="str">
        <x:v>Uncommon</x:v>
      </x:c>
      <x:c r="G100" s="45" t="n">
        <x:v>5000</x:v>
      </x:c>
      <x:c r="H100" s="45" t="n">
        <x:f>IF(G100="","",ROUNDUP(G100*3,0))</x:f>
        <x:v>15000</x:v>
      </x:c>
      <x:c r="I100" s="41" t="n">
        <x:v>1</x:v>
      </x:c>
      <x:c r="J100" s="42" t="n">
        <x:v>60</x:v>
      </x:c>
      <x:c r="K100" s="42" t="n">
        <x:v>48</x:v>
      </x:c>
      <x:c r="L100" s="42" t="n">
        <x:v>45</x:v>
      </x:c>
      <x:c r="M100" s="42" t="n">
        <x:v>43</x:v>
      </x:c>
      <x:c r="N100" s="42" t="n">
        <x:v>90</x:v>
      </x:c>
      <x:c r="O100" s="42" t="n">
        <x:v>42</x:v>
      </x:c>
      <x:c r="P100" s="43" t="n">
        <x:f>IF(COUNT(J100:O100)=0,"",SUM(J100:O100))</x:f>
        <x:v>328</x:v>
      </x:c>
      <x:c r="Q100" s="23" t="str">
        <x:v>3 lignes de spawn</x:v>
      </x:c>
      <x:c r="R100" s="23" t="str">
        <x:v>Si votre nez vous démange en dormant, c'est sûrement qu'un de ces Pokémon se tient au-dessus de votre oreiller pour dévorer vos rêves par les narines.</x:v>
      </x:c>
      <x:c r="S100" s="23" t="str"/>
      <x:c r="T100" s="23" t="str">
        <x:v>https://pixelmonmod.com/wiki/Drowzee</x:v>
      </x:c>
    </x:row>
    <x:row r="101" ht="54" customHeight="1">
      <x:c r="A101" s="27" t="n">
        <x:v>97</x:v>
      </x:c>
      <x:c r="B101" s="23" t="str">
        <x:v>Hypnomade</x:v>
      </x:c>
      <x:c r="C101" s="23" t="str">
        <x:v>Hypno</x:v>
      </x:c>
      <x:c r="D101" s="23" t="str">
        <x:v>Psy</x:v>
      </x:c>
      <x:c r="E101" s="23" t="str"/>
      <x:c r="F101" s="23" t="str">
        <x:v>Ultra Rare</x:v>
      </x:c>
      <x:c r="G101" s="45" t="n">
        <x:v>75000</x:v>
      </x:c>
      <x:c r="H101" s="45" t="n">
        <x:f>IF(G101="","",ROUNDUP(G101*3,0))</x:f>
        <x:v>225000</x:v>
      </x:c>
      <x:c r="I101" s="41" t="n">
        <x:v>1</x:v>
      </x:c>
      <x:c r="J101" s="42" t="n">
        <x:v>85</x:v>
      </x:c>
      <x:c r="K101" s="42" t="n">
        <x:v>73</x:v>
      </x:c>
      <x:c r="L101" s="42" t="n">
        <x:v>70</x:v>
      </x:c>
      <x:c r="M101" s="42" t="n">
        <x:v>73</x:v>
      </x:c>
      <x:c r="N101" s="42" t="n">
        <x:v>115</x:v>
      </x:c>
      <x:c r="O101" s="42" t="n">
        <x:v>67</x:v>
      </x:c>
      <x:c r="P101" s="43" t="n">
        <x:f>IF(COUNT(J101:O101)=0,"",SUM(J101:O101))</x:f>
        <x:v>483</x:v>
      </x:c>
      <x:c r="Q101" s="23" t="str">
        <x:v>3 lignes de spawn</x:v>
      </x:c>
      <x:c r="R101" s="23" t="str">
        <x:v>Hypnomade tient un pendule. Le mouvement et l'éclat de celui-ci plongent l'ennemi dans une profonde hypnose. Pendant qu'il cherche sa proie, il polit son pendule.</x:v>
      </x:c>
      <x:c r="S101" s="23" t="str"/>
      <x:c r="T101" s="23" t="str">
        <x:v>https://pixelmonmod.com/wiki/Hypno</x:v>
      </x:c>
    </x:row>
    <x:row r="102" ht="54" customHeight="1">
      <x:c r="A102" s="27" t="n">
        <x:v>98</x:v>
      </x:c>
      <x:c r="B102" s="23" t="str">
        <x:v>Krabby</x:v>
      </x:c>
      <x:c r="C102" s="23" t="str">
        <x:v>Krabby</x:v>
      </x:c>
      <x:c r="D102" s="23" t="str">
        <x:v>Eau</x:v>
      </x:c>
      <x:c r="E102" s="23" t="str"/>
      <x:c r="F102" s="23" t="str">
        <x:v>Common / Uncommon</x:v>
      </x:c>
      <x:c r="G102" s="45" t="n">
        <x:v>5000</x:v>
      </x:c>
      <x:c r="H102" s="45" t="n">
        <x:f>IF(G102="","",ROUNDUP(G102*3,0))</x:f>
        <x:v>15000</x:v>
      </x:c>
      <x:c r="I102" s="41" t="n">
        <x:v>0.5</x:v>
      </x:c>
      <x:c r="J102" s="42" t="n">
        <x:v>30</x:v>
      </x:c>
      <x:c r="K102" s="42" t="n">
        <x:v>105</x:v>
      </x:c>
      <x:c r="L102" s="42" t="n">
        <x:v>90</x:v>
      </x:c>
      <x:c r="M102" s="42" t="n">
        <x:v>25</x:v>
      </x:c>
      <x:c r="N102" s="42" t="n">
        <x:v>25</x:v>
      </x:c>
      <x:c r="O102" s="42" t="n">
        <x:v>50</x:v>
      </x:c>
      <x:c r="P102" s="43" t="n">
        <x:f>IF(COUNT(J102:O102)=0,"",SUM(J102:O102))</x:f>
        <x:v>325</x:v>
      </x:c>
      <x:c r="Q102" s="23" t="str">
        <x:v>10 lignes de spawn</x:v>
      </x:c>
      <x:c r="R102" s="23" t="str">
        <x:v>Les Krabby vivent sur les plages, enfouis dans des trous creusés dans le sable. Sur les plages pauvres en nourriture, on peut les voir se disputer le territoire.</x:v>
      </x:c>
      <x:c r="S102" s="23" t="str">
        <x:v>Égalité de fréquence; prix provisoire basé sur le palier le plus élevé.</x:v>
      </x:c>
      <x:c r="T102" s="23" t="str">
        <x:v>https://pixelmonmod.com/wiki/Krabby</x:v>
      </x:c>
    </x:row>
    <x:row r="103" ht="54" customHeight="1">
      <x:c r="A103" s="27" t="n">
        <x:v>99</x:v>
      </x:c>
      <x:c r="B103" s="23" t="str">
        <x:v>Krabboss</x:v>
      </x:c>
      <x:c r="C103" s="23" t="str">
        <x:v>Kingler</x:v>
      </x:c>
      <x:c r="D103" s="23" t="str">
        <x:v>Eau</x:v>
      </x:c>
      <x:c r="E103" s="23" t="str"/>
      <x:c r="F103" s="23" t="str">
        <x:v>Ultra Rare</x:v>
      </x:c>
      <x:c r="G103" s="45" t="n">
        <x:v>75000</x:v>
      </x:c>
      <x:c r="H103" s="45" t="n">
        <x:f>IF(G103="","",ROUNDUP(G103*3,0))</x:f>
        <x:v>225000</x:v>
      </x:c>
      <x:c r="I103" s="41" t="n">
        <x:v>0.7140000000000001</x:v>
      </x:c>
      <x:c r="J103" s="42" t="n">
        <x:v>55</x:v>
      </x:c>
      <x:c r="K103" s="42" t="n">
        <x:v>130</x:v>
      </x:c>
      <x:c r="L103" s="42" t="n">
        <x:v>115</x:v>
      </x:c>
      <x:c r="M103" s="42" t="n">
        <x:v>50</x:v>
      </x:c>
      <x:c r="N103" s="42" t="n">
        <x:v>50</x:v>
      </x:c>
      <x:c r="O103" s="42" t="n">
        <x:v>75</x:v>
      </x:c>
      <x:c r="P103" s="43" t="n">
        <x:f>IF(COUNT(J103:O103)=0,"",SUM(J103:O103))</x:f>
        <x:v>475</x:v>
      </x:c>
      <x:c r="Q103" s="23" t="str">
        <x:v>7 lignes de spawn</x:v>
      </x:c>
      <x:c r="R103" s="23" t="str">
        <x:v>Krabboss possède une pince énorme et disproportionnée. Il l'agite dans les airs pour communiquer avec ses congénères. Mais comme elle est très lourde, il se fatigue vite.</x:v>
      </x:c>
      <x:c r="S103" s="23" t="str"/>
      <x:c r="T103" s="23" t="str">
        <x:v>https://pixelmonmod.com/wiki/Kingler</x:v>
      </x:c>
    </x:row>
    <x:row r="104" ht="54" customHeight="1">
      <x:c r="A104" s="27" t="n">
        <x:v>100</x:v>
      </x:c>
      <x:c r="B104" s="23" t="str">
        <x:v>Voltorbe</x:v>
      </x:c>
      <x:c r="C104" s="23" t="str">
        <x:v>Voltorb</x:v>
      </x:c>
      <x:c r="D104" s="23" t="str">
        <x:v>Électrik</x:v>
      </x:c>
      <x:c r="E104" s="23" t="str"/>
      <x:c r="F104" s="23" t="str">
        <x:v>Uncommon</x:v>
      </x:c>
      <x:c r="G104" s="45" t="n">
        <x:v>5000</x:v>
      </x:c>
      <x:c r="H104" s="45" t="n">
        <x:f>IF(G104="","",ROUNDUP(G104*3,0))</x:f>
        <x:v>15000</x:v>
      </x:c>
      <x:c r="I104" s="41" t="n">
        <x:v>0.5</x:v>
      </x:c>
      <x:c r="J104" s="42" t="n">
        <x:v>40</x:v>
      </x:c>
      <x:c r="K104" s="42" t="n">
        <x:v>30</x:v>
      </x:c>
      <x:c r="L104" s="42" t="n">
        <x:v>50</x:v>
      </x:c>
      <x:c r="M104" s="42" t="n">
        <x:v>55</x:v>
      </x:c>
      <x:c r="N104" s="42" t="n">
        <x:v>55</x:v>
      </x:c>
      <x:c r="O104" s="42" t="n">
        <x:v>100</x:v>
      </x:c>
      <x:c r="P104" s="43" t="n">
        <x:f>IF(COUNT(J104:O104)=0,"",SUM(J104:O104))</x:f>
        <x:v>330</x:v>
      </x:c>
      <x:c r="Q104" s="23" t="str">
        <x:v>4 lignes de spawn</x:v>
      </x:c>
      <x:c r="R104" s="23" t="str">
        <x:v>Voltorbe a été aperçu pour la première fois dans une usine fabriquant des Poké Balls. Le lien entre cette observation et sa ressemblance frappante avec une Poké Ball reste un mystère.</x:v>
      </x:c>
      <x:c r="S104" s="23" t="str"/>
      <x:c r="T104" s="23" t="str">
        <x:v>https://pixelmonmod.com/wiki/Voltorb</x:v>
      </x:c>
    </x:row>
    <x:row r="105" ht="54" customHeight="1">
      <x:c r="A105" s="27" t="n">
        <x:v>101</x:v>
      </x:c>
      <x:c r="B105" s="23" t="str">
        <x:v>Électrode</x:v>
      </x:c>
      <x:c r="C105" s="23" t="str">
        <x:v>Electrode</x:v>
      </x:c>
      <x:c r="D105" s="23" t="str">
        <x:v>Électrik</x:v>
      </x:c>
      <x:c r="E105" s="23" t="str"/>
      <x:c r="F105" s="23" t="str">
        <x:v>Ultra Rare</x:v>
      </x:c>
      <x:c r="G105" s="45" t="n">
        <x:v>75000</x:v>
      </x:c>
      <x:c r="H105" s="45" t="n">
        <x:f>IF(G105="","",ROUNDUP(G105*3,0))</x:f>
        <x:v>225000</x:v>
      </x:c>
      <x:c r="I105" s="41" t="n">
        <x:v>0.8</x:v>
      </x:c>
      <x:c r="J105" s="42" t="n">
        <x:v>60</x:v>
      </x:c>
      <x:c r="K105" s="42" t="n">
        <x:v>50</x:v>
      </x:c>
      <x:c r="L105" s="42" t="n">
        <x:v>70</x:v>
      </x:c>
      <x:c r="M105" s="42" t="n">
        <x:v>80</x:v>
      </x:c>
      <x:c r="N105" s="42" t="n">
        <x:v>80</x:v>
      </x:c>
      <x:c r="O105" s="42" t="n">
        <x:v>150</x:v>
      </x:c>
      <x:c r="P105" s="43" t="n">
        <x:f>IF(COUNT(J105:O105)=0,"",SUM(J105:O105))</x:f>
        <x:v>490</x:v>
      </x:c>
      <x:c r="Q105" s="23" t="str">
        <x:v>5 lignes de spawn</x:v>
      </x:c>
      <x:c r="R105" s="23" t="str">
        <x:v>Électrode se nourrit de l'électricité présente dans l'air. Lors des jours d'orage, on peut le voir exploser un peu partout après en avoir trop absorbé.</x:v>
      </x:c>
      <x:c r="S105" s="23" t="str"/>
      <x:c r="T105" s="23" t="str">
        <x:v>https://pixelmonmod.com/wiki/Electrode</x:v>
      </x:c>
    </x:row>
    <x:row r="106" ht="54" customHeight="1">
      <x:c r="A106" s="27" t="n">
        <x:v>102</x:v>
      </x:c>
      <x:c r="B106" s="23" t="str">
        <x:v>Noeunoeuf</x:v>
      </x:c>
      <x:c r="C106" s="23" t="str">
        <x:v>Exeggcute</x:v>
      </x:c>
      <x:c r="D106" s="23" t="str">
        <x:v>Plante</x:v>
      </x:c>
      <x:c r="E106" s="23" t="str">
        <x:v>Psy</x:v>
      </x:c>
      <x:c r="F106" s="23" t="str">
        <x:v>Uncommon</x:v>
      </x:c>
      <x:c r="G106" s="45" t="n">
        <x:v>5000</x:v>
      </x:c>
      <x:c r="H106" s="45" t="n">
        <x:f>IF(G106="","",ROUNDUP(G106*3,0))</x:f>
        <x:v>15000</x:v>
      </x:c>
      <x:c r="I106" s="41" t="n">
        <x:v>0.6</x:v>
      </x:c>
      <x:c r="J106" s="42" t="n">
        <x:v>60</x:v>
      </x:c>
      <x:c r="K106" s="42" t="n">
        <x:v>40</x:v>
      </x:c>
      <x:c r="L106" s="42" t="n">
        <x:v>80</x:v>
      </x:c>
      <x:c r="M106" s="42" t="n">
        <x:v>60</x:v>
      </x:c>
      <x:c r="N106" s="42" t="n">
        <x:v>45</x:v>
      </x:c>
      <x:c r="O106" s="42" t="n">
        <x:v>40</x:v>
      </x:c>
      <x:c r="P106" s="43" t="n">
        <x:f>IF(COUNT(J106:O106)=0,"",SUM(J106:O106))</x:f>
        <x:v>325</x:v>
      </x:c>
      <x:c r="Q106" s="23" t="str">
        <x:v>5 lignes de spawn</x:v>
      </x:c>
      <x:c r="R106" s="23" t="str">
        <x:v>Ce Pokémon est composé de six œufs formant un groupe soudé. Les six œufs s'attirent et tournent. Lorsque les fissures se multiplient, Noeunoeuf est proche d'évoluer.</x:v>
      </x:c>
      <x:c r="S106" s="23" t="str"/>
      <x:c r="T106" s="23" t="str">
        <x:v>https://pixelmonmod.com/wiki/Exeggcute</x:v>
      </x:c>
    </x:row>
    <x:row r="107" ht="54" customHeight="1">
      <x:c r="A107" s="27" t="n">
        <x:v>103</x:v>
      </x:c>
      <x:c r="B107" s="23" t="str">
        <x:v>Noadkoko</x:v>
      </x:c>
      <x:c r="C107" s="23" t="str">
        <x:v>Exeggutor</x:v>
      </x:c>
      <x:c r="D107" s="23" t="str">
        <x:v>Plante</x:v>
      </x:c>
      <x:c r="E107" s="23" t="str">
        <x:v>Psy</x:v>
      </x:c>
      <x:c r="F107" s="23" t="str">
        <x:v>Ultra Rare</x:v>
      </x:c>
      <x:c r="G107" s="45" t="n">
        <x:v>75000</x:v>
      </x:c>
      <x:c r="H107" s="45" t="n">
        <x:f>IF(G107="","",ROUNDUP(G107*3,0))</x:f>
        <x:v>225000</x:v>
      </x:c>
      <x:c r="I107" s="41" t="n">
        <x:v>1</x:v>
      </x:c>
      <x:c r="J107" s="42" t="n">
        <x:v>95</x:v>
      </x:c>
      <x:c r="K107" s="42" t="n">
        <x:v>95</x:v>
      </x:c>
      <x:c r="L107" s="42" t="n">
        <x:v>85</x:v>
      </x:c>
      <x:c r="M107" s="42" t="n">
        <x:v>125</x:v>
      </x:c>
      <x:c r="N107" s="42" t="n">
        <x:v>75</x:v>
      </x:c>
      <x:c r="O107" s="42" t="n">
        <x:v>55</x:v>
      </x:c>
      <x:c r="P107" s="43" t="n">
        <x:f>IF(COUNT(J107:O107)=0,"",SUM(J107:O107))</x:f>
        <x:v>530</x:v>
      </x:c>
      <x:c r="Q107" s="23" t="str">
        <x:v>5 lignes de spawn</x:v>
      </x:c>
      <x:c r="R107" s="23" t="str">
        <x:v>Noadkoko vient à l'origine des tropiques. Ses têtes grandissent sous l'effet d'un fort ensoleillement. On dit que lorsqu'elles tombent, elles se regroupent pour former un Noeunoeuf.</x:v>
      </x:c>
      <x:c r="S107" s="23" t="str"/>
      <x:c r="T107" s="23" t="str">
        <x:v>https://pixelmonmod.com/wiki/Exeggutor</x:v>
      </x:c>
    </x:row>
    <x:row r="108" ht="54" customHeight="1">
      <x:c r="A108" s="27" t="n">
        <x:v>104</x:v>
      </x:c>
      <x:c r="B108" s="23" t="str">
        <x:v>Osselait</x:v>
      </x:c>
      <x:c r="C108" s="23" t="str">
        <x:v>Cubone</x:v>
      </x:c>
      <x:c r="D108" s="23" t="str">
        <x:v>Sol</x:v>
      </x:c>
      <x:c r="E108" s="23" t="str"/>
      <x:c r="F108" s="23" t="str">
        <x:v>Uncommon</x:v>
      </x:c>
      <x:c r="G108" s="45" t="n">
        <x:v>5000</x:v>
      </x:c>
      <x:c r="H108" s="45" t="n">
        <x:f>IF(G108="","",ROUNDUP(G108*3,0))</x:f>
        <x:v>15000</x:v>
      </x:c>
      <x:c r="I108" s="41" t="n">
        <x:v>1</x:v>
      </x:c>
      <x:c r="J108" s="42" t="n">
        <x:v>50</x:v>
      </x:c>
      <x:c r="K108" s="42" t="n">
        <x:v>50</x:v>
      </x:c>
      <x:c r="L108" s="42" t="n">
        <x:v>95</x:v>
      </x:c>
      <x:c r="M108" s="42" t="n">
        <x:v>40</x:v>
      </x:c>
      <x:c r="N108" s="42" t="n">
        <x:v>50</x:v>
      </x:c>
      <x:c r="O108" s="42" t="n">
        <x:v>35</x:v>
      </x:c>
      <x:c r="P108" s="43" t="n">
        <x:f>IF(COUNT(J108:O108)=0,"",SUM(J108:O108))</x:f>
        <x:v>320</x:v>
      </x:c>
      <x:c r="Q108" s="23" t="str">
        <x:v>3 lignes de spawn</x:v>
      </x:c>
      <x:c r="R108" s="23" t="str">
        <x:v>Osselait pleure la mère qu'il ne reverra jamais. Lorsqu'il aperçoit la pleine lune, il croit y voir son image et se met à sangloter. Les taches sur le crâne qu'il porte proviennent des larmes qu'il verse.</x:v>
      </x:c>
      <x:c r="S108" s="23" t="str"/>
      <x:c r="T108" s="23" t="str">
        <x:v>https://pixelmonmod.com/wiki/Cubone</x:v>
      </x:c>
    </x:row>
    <x:row r="109" ht="54" customHeight="1">
      <x:c r="A109" s="27" t="n">
        <x:v>105</x:v>
      </x:c>
      <x:c r="B109" s="23" t="str">
        <x:v>Ossatueur</x:v>
      </x:c>
      <x:c r="C109" s="23" t="str">
        <x:v>Marowak</x:v>
      </x:c>
      <x:c r="D109" s="23" t="str">
        <x:v>Sol</x:v>
      </x:c>
      <x:c r="E109" s="23" t="str"/>
      <x:c r="F109" s="23" t="str">
        <x:v>Ultra Rare</x:v>
      </x:c>
      <x:c r="G109" s="45" t="n">
        <x:v>75000</x:v>
      </x:c>
      <x:c r="H109" s="45" t="n">
        <x:f>IF(G109="","",ROUNDUP(G109*3,0))</x:f>
        <x:v>225000</x:v>
      </x:c>
      <x:c r="I109" s="41" t="n">
        <x:v>1</x:v>
      </x:c>
      <x:c r="J109" s="42" t="n">
        <x:v>60</x:v>
      </x:c>
      <x:c r="K109" s="42" t="n">
        <x:v>80</x:v>
      </x:c>
      <x:c r="L109" s="42" t="n">
        <x:v>110</x:v>
      </x:c>
      <x:c r="M109" s="42" t="n">
        <x:v>50</x:v>
      </x:c>
      <x:c r="N109" s="42" t="n">
        <x:v>80</x:v>
      </x:c>
      <x:c r="O109" s="42" t="n">
        <x:v>45</x:v>
      </x:c>
      <x:c r="P109" s="43" t="n">
        <x:f>IF(COUNT(J109:O109)=0,"",SUM(J109:O109))</x:f>
        <x:v>425</x:v>
      </x:c>
      <x:c r="Q109" s="23" t="str">
        <x:v>5 lignes de spawn</x:v>
      </x:c>
      <x:c r="R109" s="23" t="str">
        <x:v>Ossatueur est la forme évoluée d'un Osselait qui a surmonté sa tristesse après la perte de sa mère et s'est endurci. L'esprit trempé de ce Pokémon est difficile à briser.</x:v>
      </x:c>
      <x:c r="S109" s="23" t="str"/>
      <x:c r="T109" s="23" t="str">
        <x:v>https://pixelmonmod.com/wiki/Marowak</x:v>
      </x:c>
    </x:row>
    <x:row r="110" ht="54" customHeight="1">
      <x:c r="A110" s="27" t="n">
        <x:v>106</x:v>
      </x:c>
      <x:c r="B110" s="23" t="str">
        <x:v>Kicklee</x:v>
      </x:c>
      <x:c r="C110" s="23" t="str">
        <x:v>Hitmonlee</x:v>
      </x:c>
      <x:c r="D110" s="23" t="str">
        <x:v>Combat</x:v>
      </x:c>
      <x:c r="E110" s="23" t="str"/>
      <x:c r="F110" s="23" t="str">
        <x:v>Ultra Rare</x:v>
      </x:c>
      <x:c r="G110" s="45" t="n">
        <x:v>75000</x:v>
      </x:c>
      <x:c r="H110" s="45" t="n">
        <x:f>IF(G110="","",ROUNDUP(G110*3,0))</x:f>
        <x:v>225000</x:v>
      </x:c>
      <x:c r="I110" s="41" t="n">
        <x:v>1</x:v>
      </x:c>
      <x:c r="J110" s="42" t="n">
        <x:v>50</x:v>
      </x:c>
      <x:c r="K110" s="42" t="n">
        <x:v>120</x:v>
      </x:c>
      <x:c r="L110" s="42" t="n">
        <x:v>53</x:v>
      </x:c>
      <x:c r="M110" s="42" t="n">
        <x:v>35</x:v>
      </x:c>
      <x:c r="N110" s="42" t="n">
        <x:v>110</x:v>
      </x:c>
      <x:c r="O110" s="42" t="n">
        <x:v>87</x:v>
      </x:c>
      <x:c r="P110" s="43" t="n">
        <x:f>IF(COUNT(J110:O110)=0,"",SUM(J110:O110))</x:f>
        <x:v>455</x:v>
      </x:c>
      <x:c r="Q110" s="23" t="str">
        <x:v>1 lignes de spawn</x:v>
      </x:c>
      <x:c r="R110" s="23" t="str">
        <x:v>Les jambes de Kicklee peuvent s'étendre et se replier librement. Grâce à ses membres ressorts, il terrasse ses adversaires de coups dévastateurs. Après le combat, il masse ses jambes pour récupérer.</x:v>
      </x:c>
      <x:c r="S110" s="23" t="str"/>
      <x:c r="T110" s="23" t="str">
        <x:v>https://pixelmonmod.com/wiki/Hitmonlee</x:v>
      </x:c>
    </x:row>
    <x:row r="111" ht="54" customHeight="1">
      <x:c r="A111" s="27" t="n">
        <x:v>107</x:v>
      </x:c>
      <x:c r="B111" s="23" t="str">
        <x:v>Tygnon</x:v>
      </x:c>
      <x:c r="C111" s="23" t="str">
        <x:v>Hitmonchan</x:v>
      </x:c>
      <x:c r="D111" s="23" t="str">
        <x:v>Combat</x:v>
      </x:c>
      <x:c r="E111" s="23" t="str"/>
      <x:c r="F111" s="23" t="str">
        <x:v>Ultra Rare</x:v>
      </x:c>
      <x:c r="G111" s="45" t="n">
        <x:v>75000</x:v>
      </x:c>
      <x:c r="H111" s="45" t="n">
        <x:f>IF(G111="","",ROUNDUP(G111*3,0))</x:f>
        <x:v>225000</x:v>
      </x:c>
      <x:c r="I111" s="41" t="n">
        <x:v>1</x:v>
      </x:c>
      <x:c r="J111" s="42" t="n">
        <x:v>50</x:v>
      </x:c>
      <x:c r="K111" s="42" t="n">
        <x:v>105</x:v>
      </x:c>
      <x:c r="L111" s="42" t="n">
        <x:v>79</x:v>
      </x:c>
      <x:c r="M111" s="42" t="n">
        <x:v>35</x:v>
      </x:c>
      <x:c r="N111" s="42" t="n">
        <x:v>110</x:v>
      </x:c>
      <x:c r="O111" s="42" t="n">
        <x:v>76</x:v>
      </x:c>
      <x:c r="P111" s="43" t="n">
        <x:f>IF(COUNT(J111:O111)=0,"",SUM(J111:O111))</x:f>
        <x:v>455</x:v>
      </x:c>
      <x:c r="Q111" s="23" t="str">
        <x:v>1 lignes de spawn</x:v>
      </x:c>
      <x:c r="R111" s="23" t="str">
        <x:v>On dit que Tygnon est habité par l'esprit d'un boxeur visant le titre mondial. Ce Pokémon possède un esprit indomptable et ne renonce jamais face à l'adversité.</x:v>
      </x:c>
      <x:c r="S111" s="23" t="str"/>
      <x:c r="T111" s="23" t="str">
        <x:v>https://pixelmonmod.com/wiki/Hitmonchan</x:v>
      </x:c>
    </x:row>
    <x:row r="112" ht="54" customHeight="1">
      <x:c r="A112" s="27" t="n">
        <x:v>108</x:v>
      </x:c>
      <x:c r="B112" s="23" t="str">
        <x:v>Excelangue</x:v>
      </x:c>
      <x:c r="C112" s="23" t="str">
        <x:v>Lickitung</x:v>
      </x:c>
      <x:c r="D112" s="23" t="str">
        <x:v>Normal</x:v>
      </x:c>
      <x:c r="E112" s="23" t="str"/>
      <x:c r="F112" s="23" t="str">
        <x:v>Ultra Rare</x:v>
      </x:c>
      <x:c r="G112" s="45" t="n">
        <x:v>75000</x:v>
      </x:c>
      <x:c r="H112" s="45" t="n">
        <x:f>IF(G112="","",ROUNDUP(G112*3,0))</x:f>
        <x:v>225000</x:v>
      </x:c>
      <x:c r="I112" s="41" t="n">
        <x:v>1</x:v>
      </x:c>
      <x:c r="J112" s="42" t="n">
        <x:v>90</x:v>
      </x:c>
      <x:c r="K112" s="42" t="n">
        <x:v>55</x:v>
      </x:c>
      <x:c r="L112" s="42" t="n">
        <x:v>75</x:v>
      </x:c>
      <x:c r="M112" s="42" t="n">
        <x:v>60</x:v>
      </x:c>
      <x:c r="N112" s="42" t="n">
        <x:v>75</x:v>
      </x:c>
      <x:c r="O112" s="42" t="n">
        <x:v>30</x:v>
      </x:c>
      <x:c r="P112" s="43" t="n">
        <x:f>IF(COUNT(J112:O112)=0,"",SUM(J112:O112))</x:f>
        <x:v>385</x:v>
      </x:c>
      <x:c r="Q112" s="23" t="str">
        <x:v>1 lignes de spawn</x:v>
      </x:c>
      <x:c r="R112" s="23" t="str">
        <x:v>Excelangue lèche systématiquement tout ce qu'il découvre. Il mémorise les choses grâce à leur texture et à leur goût. Il est quelque peu rebuté par ce qui est acide.</x:v>
      </x:c>
      <x:c r="S112" s="23" t="str"/>
      <x:c r="T112" s="23" t="str">
        <x:v>https://pixelmonmod.com/wiki/Lickitung</x:v>
      </x:c>
    </x:row>
    <x:row r="113" ht="54" customHeight="1">
      <x:c r="A113" s="27" t="n">
        <x:v>109</x:v>
      </x:c>
      <x:c r="B113" s="23" t="str">
        <x:v>Smogo</x:v>
      </x:c>
      <x:c r="C113" s="23" t="str">
        <x:v>Koffing</x:v>
      </x:c>
      <x:c r="D113" s="23" t="str">
        <x:v>Poison</x:v>
      </x:c>
      <x:c r="E113" s="23" t="str"/>
      <x:c r="F113" s="23" t="str">
        <x:v>Uncommon</x:v>
      </x:c>
      <x:c r="G113" s="45" t="n">
        <x:v>5000</x:v>
      </x:c>
      <x:c r="H113" s="45" t="n">
        <x:f>IF(G113="","",ROUNDUP(G113*3,0))</x:f>
        <x:v>15000</x:v>
      </x:c>
      <x:c r="I113" s="41" t="n">
        <x:v>1</x:v>
      </x:c>
      <x:c r="J113" s="42" t="n">
        <x:v>40</x:v>
      </x:c>
      <x:c r="K113" s="42" t="n">
        <x:v>65</x:v>
      </x:c>
      <x:c r="L113" s="42" t="n">
        <x:v>95</x:v>
      </x:c>
      <x:c r="M113" s="42" t="n">
        <x:v>60</x:v>
      </x:c>
      <x:c r="N113" s="42" t="n">
        <x:v>45</x:v>
      </x:c>
      <x:c r="O113" s="42" t="n">
        <x:v>35</x:v>
      </x:c>
      <x:c r="P113" s="43" t="n">
        <x:f>IF(COUNT(J113:O113)=0,"",SUM(J113:O113))</x:f>
        <x:v>340</x:v>
      </x:c>
      <x:c r="Q113" s="23" t="str">
        <x:v>7 lignes de spawn</x:v>
      </x:c>
      <x:c r="R113" s="23" t="str">
        <x:v>Si Smogo s'agite, il augmente la toxicité de ses gaz internes et les expulse depuis tout son corps. Il peut aussi trop se gonfler et finir par exploser.</x:v>
      </x:c>
      <x:c r="S113" s="23" t="str"/>
      <x:c r="T113" s="23" t="str">
        <x:v>https://pixelmonmod.com/wiki/Koffing</x:v>
      </x:c>
    </x:row>
    <x:row r="114" ht="54" customHeight="1">
      <x:c r="A114" s="27" t="n">
        <x:v>110</x:v>
      </x:c>
      <x:c r="B114" s="23" t="str">
        <x:v>Smogogo</x:v>
      </x:c>
      <x:c r="C114" s="23" t="str">
        <x:v>Weezing</x:v>
      </x:c>
      <x:c r="D114" s="23" t="str">
        <x:v>Poison</x:v>
      </x:c>
      <x:c r="E114" s="23" t="str"/>
      <x:c r="F114" s="23" t="str">
        <x:v>Ultra Rare</x:v>
      </x:c>
      <x:c r="G114" s="45" t="n">
        <x:v>75000</x:v>
      </x:c>
      <x:c r="H114" s="45" t="n">
        <x:f>IF(G114="","",ROUNDUP(G114*3,0))</x:f>
        <x:v>225000</x:v>
      </x:c>
      <x:c r="I114" s="41" t="n">
        <x:v>1</x:v>
      </x:c>
      <x:c r="J114" s="42" t="n">
        <x:v>65</x:v>
      </x:c>
      <x:c r="K114" s="42" t="n">
        <x:v>90</x:v>
      </x:c>
      <x:c r="L114" s="42" t="n">
        <x:v>120</x:v>
      </x:c>
      <x:c r="M114" s="42" t="n">
        <x:v>85</x:v>
      </x:c>
      <x:c r="N114" s="42" t="n">
        <x:v>70</x:v>
      </x:c>
      <x:c r="O114" s="42" t="n">
        <x:v>60</x:v>
      </x:c>
      <x:c r="P114" s="43" t="n">
        <x:f>IF(COUNT(J114:O114)=0,"",SUM(J114:O114))</x:f>
        <x:v>490</x:v>
      </x:c>
      <x:c r="Q114" s="23" t="str">
        <x:v>8 lignes de spawn</x:v>
      </x:c>
      <x:c r="R114" s="23" t="str">
        <x:v>Smogogo adore les gaz produits par les déchets alimentaires en décomposition. Ce Pokémon s'installe dans les maisons sales et mal entretenues. La nuit, lorsque les habitants dorment, il fouille les ordures.</x:v>
      </x:c>
      <x:c r="S114" s="23" t="str"/>
      <x:c r="T114" s="23" t="str">
        <x:v>https://pixelmonmod.com/wiki/Weezing</x:v>
      </x:c>
    </x:row>
    <x:row r="115" ht="54" customHeight="1">
      <x:c r="A115" s="27" t="n">
        <x:v>111</x:v>
      </x:c>
      <x:c r="B115" s="23" t="str">
        <x:v>Rhinocorne</x:v>
      </x:c>
      <x:c r="C115" s="23" t="str">
        <x:v>Rhyhorn</x:v>
      </x:c>
      <x:c r="D115" s="23" t="str">
        <x:v>Sol</x:v>
      </x:c>
      <x:c r="E115" s="23" t="str">
        <x:v>Roche</x:v>
      </x:c>
      <x:c r="F115" s="23" t="str">
        <x:v>Uncommon / Ultra Rare</x:v>
      </x:c>
      <x:c r="G115" s="45" t="n">
        <x:v>75000</x:v>
      </x:c>
      <x:c r="H115" s="45" t="n">
        <x:f>IF(G115="","",ROUNDUP(G115*3,0))</x:f>
        <x:v>225000</x:v>
      </x:c>
      <x:c r="I115" s="41" t="n">
        <x:v>0.5</x:v>
      </x:c>
      <x:c r="J115" s="42" t="n">
        <x:v>80</x:v>
      </x:c>
      <x:c r="K115" s="42" t="n">
        <x:v>85</x:v>
      </x:c>
      <x:c r="L115" s="42" t="n">
        <x:v>95</x:v>
      </x:c>
      <x:c r="M115" s="42" t="n">
        <x:v>30</x:v>
      </x:c>
      <x:c r="N115" s="42" t="n">
        <x:v>30</x:v>
      </x:c>
      <x:c r="O115" s="42" t="n">
        <x:v>25</x:v>
      </x:c>
      <x:c r="P115" s="43" t="n">
        <x:f>IF(COUNT(J115:O115)=0,"",SUM(J115:O115))</x:f>
        <x:v>345</x:v>
      </x:c>
      <x:c r="Q115" s="23" t="str">
        <x:v>4 lignes de spawn</x:v>
      </x:c>
      <x:c r="R115" s="23" t="str">
        <x:v>Rhinocorne fonce en ligne droite, détruisant tout sur son passage. Même s'il percute un bloc d'acier, cela ne le dérange pas. Il peut cependant ressentir la douleur le lendemain.</x:v>
      </x:c>
      <x:c r="S115" s="23" t="str">
        <x:v>Égalité de fréquence; prix provisoire basé sur le palier le plus élevé.</x:v>
      </x:c>
      <x:c r="T115" s="23" t="str">
        <x:v>https://pixelmonmod.com/wiki/Rhyhorn</x:v>
      </x:c>
    </x:row>
    <x:row r="116" ht="54" customHeight="1">
      <x:c r="A116" s="27" t="n">
        <x:v>112</x:v>
      </x:c>
      <x:c r="B116" s="23" t="str">
        <x:v>Rhinoféros</x:v>
      </x:c>
      <x:c r="C116" s="23" t="str">
        <x:v>Rhydon</x:v>
      </x:c>
      <x:c r="D116" s="23" t="str">
        <x:v>Sol</x:v>
      </x:c>
      <x:c r="E116" s="23" t="str">
        <x:v>Roche</x:v>
      </x:c>
      <x:c r="F116" s="23" t="str">
        <x:v>Ultra Rare</x:v>
      </x:c>
      <x:c r="G116" s="45" t="n">
        <x:v>75000</x:v>
      </x:c>
      <x:c r="H116" s="45" t="n">
        <x:f>IF(G116="","",ROUNDUP(G116*3,0))</x:f>
        <x:v>225000</x:v>
      </x:c>
      <x:c r="I116" s="41" t="n">
        <x:v>1</x:v>
      </x:c>
      <x:c r="J116" s="42" t="n">
        <x:v>105</x:v>
      </x:c>
      <x:c r="K116" s="42" t="n">
        <x:v>130</x:v>
      </x:c>
      <x:c r="L116" s="42" t="n">
        <x:v>120</x:v>
      </x:c>
      <x:c r="M116" s="42" t="n">
        <x:v>45</x:v>
      </x:c>
      <x:c r="N116" s="42" t="n">
        <x:v>45</x:v>
      </x:c>
      <x:c r="O116" s="42" t="n">
        <x:v>40</x:v>
      </x:c>
      <x:c r="P116" s="43" t="n">
        <x:f>IF(COUNT(J116:O116)=0,"",SUM(J116:O116))</x:f>
        <x:v>485</x:v>
      </x:c>
      <x:c r="Q116" s="23" t="str">
        <x:v>4 lignes de spawn</x:v>
      </x:c>
      <x:c r="R116" s="23" t="str">
        <x:v>La corne de Rhinoféros peut broyer même les diamants bruts. Un seul coup de sa queue peut renverser un bâtiment. Sa peau est extrêmement dure : même un tir de canon n'y laisse aucune trace.</x:v>
      </x:c>
      <x:c r="S116" s="23" t="str"/>
      <x:c r="T116" s="23" t="str">
        <x:v>https://pixelmonmod.com/wiki/Rhydon</x:v>
      </x:c>
    </x:row>
    <x:row r="117" ht="54" customHeight="1">
      <x:c r="A117" s="27" t="n">
        <x:v>113</x:v>
      </x:c>
      <x:c r="B117" s="23" t="str">
        <x:v>Leveinard</x:v>
      </x:c>
      <x:c r="C117" s="23" t="str">
        <x:v>Chansey</x:v>
      </x:c>
      <x:c r="D117" s="23" t="str">
        <x:v>Normal</x:v>
      </x:c>
      <x:c r="E117" s="23" t="str"/>
      <x:c r="F117" s="23" t="str">
        <x:v>Ultra Rare</x:v>
      </x:c>
      <x:c r="G117" s="45" t="n">
        <x:v>75000</x:v>
      </x:c>
      <x:c r="H117" s="45" t="n">
        <x:f>IF(G117="","",ROUNDUP(G117*3,0))</x:f>
        <x:v>225000</x:v>
      </x:c>
      <x:c r="I117" s="41" t="n">
        <x:v>1</x:v>
      </x:c>
      <x:c r="J117" s="42" t="n">
        <x:v>250</x:v>
      </x:c>
      <x:c r="K117" s="42" t="n">
        <x:v>5</x:v>
      </x:c>
      <x:c r="L117" s="42" t="n">
        <x:v>5</x:v>
      </x:c>
      <x:c r="M117" s="42" t="n">
        <x:v>35</x:v>
      </x:c>
      <x:c r="N117" s="42" t="n">
        <x:v>105</x:v>
      </x:c>
      <x:c r="O117" s="42" t="n">
        <x:v>50</x:v>
      </x:c>
      <x:c r="P117" s="43" t="n">
        <x:f>IF(COUNT(J117:O117)=0,"",SUM(J117:O117))</x:f>
        <x:v>450</x:v>
      </x:c>
      <x:c r="Q117" s="23" t="str">
        <x:v>2 lignes de spawn</x:v>
      </x:c>
      <x:c r="R117" s="23" t="str">
        <x:v>Leveinard pond chaque jour des œufs d'une valeur nutritionnelle exceptionnelle. Ils sont si délicieux qu'ils sont dévorés avec envie même par les personnes sans appétit.</x:v>
      </x:c>
      <x:c r="S117" s="23" t="str"/>
      <x:c r="T117" s="23" t="str">
        <x:v>https://pixelmonmod.com/wiki/Chansey</x:v>
      </x:c>
    </x:row>
    <x:row r="118" ht="54" customHeight="1">
      <x:c r="A118" s="27" t="n">
        <x:v>114</x:v>
      </x:c>
      <x:c r="B118" s="23" t="str">
        <x:v>Saquedeneu</x:v>
      </x:c>
      <x:c r="C118" s="23" t="str">
        <x:v>Tangela</x:v>
      </x:c>
      <x:c r="D118" s="23" t="str">
        <x:v>Plante</x:v>
      </x:c>
      <x:c r="E118" s="23" t="str"/>
      <x:c r="F118" s="23" t="str">
        <x:v>Rare</x:v>
      </x:c>
      <x:c r="G118" s="45" t="n">
        <x:v>12000</x:v>
      </x:c>
      <x:c r="H118" s="45" t="n">
        <x:f>IF(G118="","",ROUNDUP(G118*3,0))</x:f>
        <x:v>36000</x:v>
      </x:c>
      <x:c r="I118" s="41" t="n">
        <x:v>1</x:v>
      </x:c>
      <x:c r="J118" s="42" t="n">
        <x:v>65</x:v>
      </x:c>
      <x:c r="K118" s="42" t="n">
        <x:v>55</x:v>
      </x:c>
      <x:c r="L118" s="42" t="n">
        <x:v>115</x:v>
      </x:c>
      <x:c r="M118" s="42" t="n">
        <x:v>100</x:v>
      </x:c>
      <x:c r="N118" s="42" t="n">
        <x:v>40</x:v>
      </x:c>
      <x:c r="O118" s="42" t="n">
        <x:v>60</x:v>
      </x:c>
      <x:c r="P118" s="43" t="n">
        <x:f>IF(COUNT(J118:O118)=0,"",SUM(J118:O118))</x:f>
        <x:v>435</x:v>
      </x:c>
      <x:c r="Q118" s="23" t="str">
        <x:v>2 lignes de spawn</x:v>
      </x:c>
      <x:c r="R118" s="23" t="str">
        <x:v>Les lianes de Saquedeneu se détachent facilement si on les attrape. Cela ne lui fait pas mal, ce qui lui permet de s'enfuir rapidement. Elles repoussent dès le lendemain.</x:v>
      </x:c>
      <x:c r="S118" s="23" t="str"/>
      <x:c r="T118" s="23" t="str">
        <x:v>https://pixelmonmod.com/wiki/Tangela</x:v>
      </x:c>
    </x:row>
    <x:row r="119" ht="54" customHeight="1">
      <x:c r="A119" s="27" t="n">
        <x:v>115</x:v>
      </x:c>
      <x:c r="B119" s="23" t="str">
        <x:v>Kangourex</x:v>
      </x:c>
      <x:c r="C119" s="23" t="str">
        <x:v>Kangaskhan</x:v>
      </x:c>
      <x:c r="D119" s="23" t="str">
        <x:v>Normal</x:v>
      </x:c>
      <x:c r="E119" s="23" t="str"/>
      <x:c r="F119" s="23" t="str">
        <x:v>Ultra Rare</x:v>
      </x:c>
      <x:c r="G119" s="45" t="n">
        <x:v>75000</x:v>
      </x:c>
      <x:c r="H119" s="45" t="n">
        <x:f>IF(G119="","",ROUNDUP(G119*3,0))</x:f>
        <x:v>225000</x:v>
      </x:c>
      <x:c r="I119" s="41" t="n">
        <x:v>1</x:v>
      </x:c>
      <x:c r="J119" s="42" t="n">
        <x:v>105</x:v>
      </x:c>
      <x:c r="K119" s="42" t="n">
        <x:v>95</x:v>
      </x:c>
      <x:c r="L119" s="42" t="n">
        <x:v>80</x:v>
      </x:c>
      <x:c r="M119" s="42" t="n">
        <x:v>40</x:v>
      </x:c>
      <x:c r="N119" s="42" t="n">
        <x:v>80</x:v>
      </x:c>
      <x:c r="O119" s="42" t="n">
        <x:v>90</x:v>
      </x:c>
      <x:c r="P119" s="43" t="n">
        <x:f>IF(COUNT(J119:O119)=0,"",SUM(J119:O119))</x:f>
        <x:v>490</x:v>
      </x:c>
      <x:c r="Q119" s="23" t="str">
        <x:v>2 lignes de spawn</x:v>
      </x:c>
      <x:c r="R119" s="23" t="str">
        <x:v>Si vous croisez un jeune Kangourex jouant seul, ne le dérangez surtout pas et n'essayez jamais de le capturer. Le parent se trouve forcément à proximité, et il entrerait dans une colère terrible.</x:v>
      </x:c>
      <x:c r="S119" s="23" t="str"/>
      <x:c r="T119" s="23" t="str">
        <x:v>https://pixelmonmod.com/wiki/Kangaskhan</x:v>
      </x:c>
    </x:row>
    <x:row r="120" ht="54" customHeight="1">
      <x:c r="A120" s="27" t="n">
        <x:v>116</x:v>
      </x:c>
      <x:c r="B120" s="23" t="str">
        <x:v>Hypotrempe</x:v>
      </x:c>
      <x:c r="C120" s="23" t="str">
        <x:v>Horsea</x:v>
      </x:c>
      <x:c r="D120" s="23" t="str">
        <x:v>Eau</x:v>
      </x:c>
      <x:c r="E120" s="23" t="str"/>
      <x:c r="F120" s="23" t="str">
        <x:v>Common / Uncommon / Very Rare</x:v>
      </x:c>
      <x:c r="G120" s="45" t="n">
        <x:v>30000</x:v>
      </x:c>
      <x:c r="H120" s="45" t="n">
        <x:f>IF(G120="","",ROUNDUP(G120*3,0))</x:f>
        <x:v>90000</x:v>
      </x:c>
      <x:c r="I120" s="41" t="n">
        <x:v>0.263</x:v>
      </x:c>
      <x:c r="J120" s="42" t="n">
        <x:v>30</x:v>
      </x:c>
      <x:c r="K120" s="42" t="n">
        <x:v>40</x:v>
      </x:c>
      <x:c r="L120" s="42" t="n">
        <x:v>70</x:v>
      </x:c>
      <x:c r="M120" s="42" t="n">
        <x:v>70</x:v>
      </x:c>
      <x:c r="N120" s="42" t="n">
        <x:v>25</x:v>
      </x:c>
      <x:c r="O120" s="42" t="n">
        <x:v>60</x:v>
      </x:c>
      <x:c r="P120" s="43" t="n">
        <x:f>IF(COUNT(J120:O120)=0,"",SUM(J120:O120))</x:f>
        <x:v>295</x:v>
      </x:c>
      <x:c r="Q120" s="23" t="str">
        <x:v>19 lignes de spawn</x:v>
      </x:c>
      <x:c r="R120" s="23" t="str">
        <x:v>Hypotrempe mange de petits insectes et des mousses sur les rochers. Si le courant devient trop fort, il s'amarre en enroulant sa queue autour de pierres ou de coraux.</x:v>
      </x:c>
      <x:c r="S120" s="23" t="str">
        <x:v>Égalité de fréquence; prix provisoire basé sur le palier le plus élevé. Very Rare aligné sur le palier Super Rare (provisoire).</x:v>
      </x:c>
      <x:c r="T120" s="23" t="str">
        <x:v>https://pixelmonmod.com/wiki/Horsea</x:v>
      </x:c>
    </x:row>
    <x:row r="121" ht="54" customHeight="1">
      <x:c r="A121" s="27" t="n">
        <x:v>117</x:v>
      </x:c>
      <x:c r="B121" s="23" t="str">
        <x:v>Hypocéan</x:v>
      </x:c>
      <x:c r="C121" s="23" t="str">
        <x:v>Seadra</x:v>
      </x:c>
      <x:c r="D121" s="23" t="str">
        <x:v>Eau</x:v>
      </x:c>
      <x:c r="E121" s="23" t="str"/>
      <x:c r="F121" s="23" t="str">
        <x:v>Very Rare</x:v>
      </x:c>
      <x:c r="G121" s="45" t="n">
        <x:v>30000</x:v>
      </x:c>
      <x:c r="H121" s="45" t="n">
        <x:f>IF(G121="","",ROUNDUP(G121*3,0))</x:f>
        <x:v>90000</x:v>
      </x:c>
      <x:c r="I121" s="41" t="n">
        <x:v>0.5</x:v>
      </x:c>
      <x:c r="J121" s="42" t="n">
        <x:v>55</x:v>
      </x:c>
      <x:c r="K121" s="42" t="n">
        <x:v>65</x:v>
      </x:c>
      <x:c r="L121" s="42" t="n">
        <x:v>95</x:v>
      </x:c>
      <x:c r="M121" s="42" t="n">
        <x:v>95</x:v>
      </x:c>
      <x:c r="N121" s="42" t="n">
        <x:v>45</x:v>
      </x:c>
      <x:c r="O121" s="42" t="n">
        <x:v>85</x:v>
      </x:c>
      <x:c r="P121" s="43" t="n">
        <x:f>IF(COUNT(J121:O121)=0,"",SUM(J121:O121))</x:f>
        <x:v>440</x:v>
      </x:c>
      <x:c r="Q121" s="23" t="str">
        <x:v>26 lignes de spawn</x:v>
      </x:c>
      <x:c r="R121" s="23" t="str">
        <x:v>Hypocéan dort en s'insérant entre les branches de corail. Ceux qui récoltent le corail se font parfois piquer par les dards venimeux de ce Pokémon s'ils ne l'aperçoivent pas.</x:v>
      </x:c>
      <x:c r="S121" s="23" t="str">
        <x:v>Very Rare aligné sur le palier Super Rare (provisoire).</x:v>
      </x:c>
      <x:c r="T121" s="23" t="str">
        <x:v>https://pixelmonmod.com/wiki/Seadra</x:v>
      </x:c>
    </x:row>
    <x:row r="122" ht="54" customHeight="1">
      <x:c r="A122" s="27" t="n">
        <x:v>118</x:v>
      </x:c>
      <x:c r="B122" s="23" t="str">
        <x:v>Poissirène</x:v>
      </x:c>
      <x:c r="C122" s="23" t="str">
        <x:v>Goldeen</x:v>
      </x:c>
      <x:c r="D122" s="23" t="str">
        <x:v>Eau</x:v>
      </x:c>
      <x:c r="E122" s="23" t="str"/>
      <x:c r="F122" s="23" t="str">
        <x:v>Uncommon</x:v>
      </x:c>
      <x:c r="G122" s="45" t="n">
        <x:v>5000</x:v>
      </x:c>
      <x:c r="H122" s="45" t="n">
        <x:f>IF(G122="","",ROUNDUP(G122*3,0))</x:f>
        <x:v>15000</x:v>
      </x:c>
      <x:c r="I122" s="41" t="n">
        <x:v>0.625</x:v>
      </x:c>
      <x:c r="J122" s="42" t="n">
        <x:v>45</x:v>
      </x:c>
      <x:c r="K122" s="42" t="n">
        <x:v>67</x:v>
      </x:c>
      <x:c r="L122" s="42" t="n">
        <x:v>60</x:v>
      </x:c>
      <x:c r="M122" s="42" t="n">
        <x:v>35</x:v>
      </x:c>
      <x:c r="N122" s="42" t="n">
        <x:v>50</x:v>
      </x:c>
      <x:c r="O122" s="42" t="n">
        <x:v>63</x:v>
      </x:c>
      <x:c r="P122" s="43" t="n">
        <x:f>IF(COUNT(J122:O122)=0,"",SUM(J122:O122))</x:f>
        <x:v>320</x:v>
      </x:c>
      <x:c r="Q122" s="23" t="str">
        <x:v>16 lignes de spawn</x:v>
      </x:c>
      <x:c r="R122" s="23" t="str">
        <x:v>Poissirène est un Pokémon très beau, dont les nageoires ondulent élégamment dans l'eau. Cependant, ne baissez jamais votre garde : il peut vous percuter violemment avec sa corne.</x:v>
      </x:c>
      <x:c r="S122" s="23" t="str"/>
      <x:c r="T122" s="23" t="str">
        <x:v>https://pixelmonmod.com/wiki/Goldeen</x:v>
      </x:c>
    </x:row>
    <x:row r="123" ht="54" customHeight="1">
      <x:c r="A123" s="27" t="n">
        <x:v>119</x:v>
      </x:c>
      <x:c r="B123" s="23" t="str">
        <x:v>Poissoroy</x:v>
      </x:c>
      <x:c r="C123" s="23" t="str">
        <x:v>Seaking</x:v>
      </x:c>
      <x:c r="D123" s="23" t="str">
        <x:v>Eau</x:v>
      </x:c>
      <x:c r="E123" s="23" t="str"/>
      <x:c r="F123" s="23" t="str">
        <x:v>Uncommon / Rare / Very Rare</x:v>
      </x:c>
      <x:c r="G123" s="45" t="n">
        <x:v>30000</x:v>
      </x:c>
      <x:c r="H123" s="45" t="n">
        <x:f>IF(G123="","",ROUNDUP(G123*3,0))</x:f>
        <x:v>90000</x:v>
      </x:c>
      <x:c r="I123" s="41" t="n">
        <x:v>0.33299999999999996</x:v>
      </x:c>
      <x:c r="J123" s="42" t="n">
        <x:v>80</x:v>
      </x:c>
      <x:c r="K123" s="42" t="n">
        <x:v>92</x:v>
      </x:c>
      <x:c r="L123" s="42" t="n">
        <x:v>65</x:v>
      </x:c>
      <x:c r="M123" s="42" t="n">
        <x:v>65</x:v>
      </x:c>
      <x:c r="N123" s="42" t="n">
        <x:v>80</x:v>
      </x:c>
      <x:c r="O123" s="42" t="n">
        <x:v>68</x:v>
      </x:c>
      <x:c r="P123" s="43" t="n">
        <x:f>IF(COUNT(J123:O123)=0,"",SUM(J123:O123))</x:f>
        <x:v>450</x:v>
      </x:c>
      <x:c r="Q123" s="23" t="str">
        <x:v>18 lignes de spawn</x:v>
      </x:c>
      <x:c r="R123" s="23" t="str">
        <x:v>À l'automne, on peut voir les mâles Poissoroy exécuter des danses nuptiales dans les lits des rivières pour séduire les femelles. En cette saison, ses couleurs sont à leur plus bel éclat.</x:v>
      </x:c>
      <x:c r="S123" s="23" t="str">
        <x:v>Égalité de fréquence; prix provisoire basé sur le palier le plus élevé. Very Rare aligné sur le palier Super Rare (provisoire).</x:v>
      </x:c>
      <x:c r="T123" s="23" t="str">
        <x:v>https://pixelmonmod.com/wiki/Seaking</x:v>
      </x:c>
    </x:row>
    <x:row r="124" ht="54" customHeight="1">
      <x:c r="A124" s="27" t="n">
        <x:v>120</x:v>
      </x:c>
      <x:c r="B124" s="23" t="str">
        <x:v>Stari</x:v>
      </x:c>
      <x:c r="C124" s="23" t="str">
        <x:v>Staryu</x:v>
      </x:c>
      <x:c r="D124" s="23" t="str">
        <x:v>Eau</x:v>
      </x:c>
      <x:c r="E124" s="23" t="str"/>
      <x:c r="F124" s="23" t="str">
        <x:v>Uncommon</x:v>
      </x:c>
      <x:c r="G124" s="45" t="n">
        <x:v>5000</x:v>
      </x:c>
      <x:c r="H124" s="45" t="n">
        <x:f>IF(G124="","",ROUNDUP(G124*3,0))</x:f>
        <x:v>15000</x:v>
      </x:c>
      <x:c r="I124" s="41" t="n">
        <x:v>0.5710000000000001</x:v>
      </x:c>
      <x:c r="J124" s="42" t="n">
        <x:v>30</x:v>
      </x:c>
      <x:c r="K124" s="42" t="n">
        <x:v>45</x:v>
      </x:c>
      <x:c r="L124" s="42" t="n">
        <x:v>55</x:v>
      </x:c>
      <x:c r="M124" s="42" t="n">
        <x:v>70</x:v>
      </x:c>
      <x:c r="N124" s="42" t="n">
        <x:v>55</x:v>
      </x:c>
      <x:c r="O124" s="42" t="n">
        <x:v>85</x:v>
      </x:c>
      <x:c r="P124" s="43" t="n">
        <x:f>IF(COUNT(J124:O124)=0,"",SUM(J124:O124))</x:f>
        <x:v>340</x:v>
      </x:c>
      <x:c r="Q124" s="23" t="str">
        <x:v>7 lignes de spawn</x:v>
      </x:c>
      <x:c r="R124" s="23" t="str">
        <x:v>La partie centrale de Stari contient un organe appelé le cœur, qui brille d'un rouge vif. Si vous allez sur une plage vers la fin de l'été, les cœurs brillants de ces Pokémon ressemblent à des étoiles dans le ciel.</x:v>
      </x:c>
      <x:c r="S124" s="23" t="str"/>
      <x:c r="T124" s="23" t="str">
        <x:v>https://pixelmonmod.com/wiki/Staryu</x:v>
      </x:c>
    </x:row>
    <x:row r="125" ht="54" customHeight="1">
      <x:c r="A125" s="27" t="n">
        <x:v>121</x:v>
      </x:c>
      <x:c r="B125" s="23" t="str">
        <x:v>Staross</x:v>
      </x:c>
      <x:c r="C125" s="23" t="str">
        <x:v>Starmie</x:v>
      </x:c>
      <x:c r="D125" s="23" t="str">
        <x:v>Eau</x:v>
      </x:c>
      <x:c r="E125" s="23" t="str">
        <x:v>Psy</x:v>
      </x:c>
      <x:c r="F125" s="23" t="str">
        <x:v>Ultra Rare</x:v>
      </x:c>
      <x:c r="G125" s="45" t="n">
        <x:v>75000</x:v>
      </x:c>
      <x:c r="H125" s="45" t="n">
        <x:f>IF(G125="","",ROUNDUP(G125*3,0))</x:f>
        <x:v>225000</x:v>
      </x:c>
      <x:c r="I125" s="41" t="n">
        <x:v>1</x:v>
      </x:c>
      <x:c r="J125" s="42" t="n">
        <x:v>60</x:v>
      </x:c>
      <x:c r="K125" s="42" t="n">
        <x:v>75</x:v>
      </x:c>
      <x:c r="L125" s="42" t="n">
        <x:v>85</x:v>
      </x:c>
      <x:c r="M125" s="42" t="n">
        <x:v>100</x:v>
      </x:c>
      <x:c r="N125" s="42" t="n">
        <x:v>85</x:v>
      </x:c>
      <x:c r="O125" s="42" t="n">
        <x:v>115</x:v>
      </x:c>
      <x:c r="P125" s="43" t="n">
        <x:f>IF(COUNT(J125:O125)=0,"",SUM(J125:O125))</x:f>
        <x:v>520</x:v>
      </x:c>
      <x:c r="Q125" s="23" t="str">
        <x:v>5 lignes de spawn</x:v>
      </x:c>
      <x:c r="R125" s="23" t="str">
        <x:v>La partie centrale de Staross — le cœur — brille de sept couleurs. En raison de cette luminescence, ce Pokémon a reçu le surnom de « joyau des mers ».</x:v>
      </x:c>
      <x:c r="S125" s="23" t="str"/>
      <x:c r="T125" s="23" t="str">
        <x:v>https://pixelmonmod.com/wiki/Starmie</x:v>
      </x:c>
    </x:row>
    <x:row r="126" ht="54" customHeight="1">
      <x:c r="A126" s="27" t="n">
        <x:v>122</x:v>
      </x:c>
      <x:c r="B126" s="23" t="str">
        <x:v>M. Mime</x:v>
      </x:c>
      <x:c r="C126" s="23" t="str">
        <x:v>Mr. Mime</x:v>
      </x:c>
      <x:c r="D126" s="23" t="str">
        <x:v>Psy</x:v>
      </x:c>
      <x:c r="E126" s="23" t="str">
        <x:v>Fée</x:v>
      </x:c>
      <x:c r="F126" s="23" t="str">
        <x:v>Ultra Rare</x:v>
      </x:c>
      <x:c r="G126" s="45" t="n">
        <x:v>75000</x:v>
      </x:c>
      <x:c r="H126" s="45" t="n">
        <x:f>IF(G126="","",ROUNDUP(G126*3,0))</x:f>
        <x:v>225000</x:v>
      </x:c>
      <x:c r="I126" s="41" t="n">
        <x:v>1</x:v>
      </x:c>
      <x:c r="J126" s="42" t="n">
        <x:v>40</x:v>
      </x:c>
      <x:c r="K126" s="42" t="n">
        <x:v>45</x:v>
      </x:c>
      <x:c r="L126" s="42" t="n">
        <x:v>65</x:v>
      </x:c>
      <x:c r="M126" s="42" t="n">
        <x:v>100</x:v>
      </x:c>
      <x:c r="N126" s="42" t="n">
        <x:v>120</x:v>
      </x:c>
      <x:c r="O126" s="42" t="n">
        <x:v>90</x:v>
      </x:c>
      <x:c r="P126" s="43" t="n">
        <x:f>IF(COUNT(J126:O126)=0,"",SUM(J126:O126))</x:f>
        <x:v>460</x:v>
      </x:c>
      <x:c r="Q126" s="23" t="str">
        <x:v>3 lignes de spawn</x:v>
      </x:c>
      <x:c r="R126" s="23" t="str">
        <x:v>M. Mime est un maître du mime. Ses gestes et mouvements persuadent ceux qui le regardent que quelque chose d'invisible existe réellement. Une fois convaincus, cette chose invisible devient aussi réelle que si elle l'était.</x:v>
      </x:c>
      <x:c r="S126" s="23" t="str"/>
      <x:c r="T126" s="23" t="str">
        <x:v>https://pixelmonmod.com/wiki/Mr._Mime</x:v>
      </x:c>
    </x:row>
    <x:row r="127" ht="54" customHeight="1">
      <x:c r="A127" s="27" t="n">
        <x:v>123</x:v>
      </x:c>
      <x:c r="B127" s="23" t="str">
        <x:v>Insécateur</x:v>
      </x:c>
      <x:c r="C127" s="23" t="str">
        <x:v>Scyther</x:v>
      </x:c>
      <x:c r="D127" s="23" t="str">
        <x:v>Insecte</x:v>
      </x:c>
      <x:c r="E127" s="23" t="str">
        <x:v>Vol</x:v>
      </x:c>
      <x:c r="F127" s="23" t="str">
        <x:v>Ultra Rare</x:v>
      </x:c>
      <x:c r="G127" s="45" t="n">
        <x:v>75000</x:v>
      </x:c>
      <x:c r="H127" s="45" t="n">
        <x:f>IF(G127="","",ROUNDUP(G127*3,0))</x:f>
        <x:v>225000</x:v>
      </x:c>
      <x:c r="I127" s="41" t="n">
        <x:v>0.75</x:v>
      </x:c>
      <x:c r="J127" s="42" t="n">
        <x:v>70</x:v>
      </x:c>
      <x:c r="K127" s="42" t="n">
        <x:v>110</x:v>
      </x:c>
      <x:c r="L127" s="42" t="n">
        <x:v>80</x:v>
      </x:c>
      <x:c r="M127" s="42" t="n">
        <x:v>55</x:v>
      </x:c>
      <x:c r="N127" s="42" t="n">
        <x:v>80</x:v>
      </x:c>
      <x:c r="O127" s="42" t="n">
        <x:v>105</x:v>
      </x:c>
      <x:c r="P127" s="43" t="n">
        <x:f>IF(COUNT(J127:O127)=0,"",SUM(J127:O127))</x:f>
        <x:v>500</x:v>
      </x:c>
      <x:c r="Q127" s="23" t="str">
        <x:v>4 lignes de spawn</x:v>
      </x:c>
      <x:c r="R127" s="23" t="str">
        <x:v>Insécateur est d'une rapidité aveuglante. Sa vitesse incroyable décuple l'efficacité des deux lames de ses avant-bras. Elles sont si redoutables qu'elles tranchent des troncs épais en un seul coup.</x:v>
      </x:c>
      <x:c r="S127" s="23" t="str"/>
      <x:c r="T127" s="23" t="str">
        <x:v>https://pixelmonmod.com/wiki/Scyther</x:v>
      </x:c>
    </x:row>
    <x:row r="128" ht="54" customHeight="1">
      <x:c r="A128" s="27" t="n">
        <x:v>124</x:v>
      </x:c>
      <x:c r="B128" s="23" t="str">
        <x:v>Lippoutou</x:v>
      </x:c>
      <x:c r="C128" s="23" t="str">
        <x:v>Jynx</x:v>
      </x:c>
      <x:c r="D128" s="23" t="str">
        <x:v>Glace</x:v>
      </x:c>
      <x:c r="E128" s="23" t="str">
        <x:v>Psy</x:v>
      </x:c>
      <x:c r="F128" s="23" t="str">
        <x:v>Ultra Rare</x:v>
      </x:c>
      <x:c r="G128" s="45" t="n">
        <x:v>75000</x:v>
      </x:c>
      <x:c r="H128" s="45" t="n">
        <x:f>IF(G128="","",ROUNDUP(G128*3,0))</x:f>
        <x:v>225000</x:v>
      </x:c>
      <x:c r="I128" s="41" t="n">
        <x:v>1</x:v>
      </x:c>
      <x:c r="J128" s="42" t="n">
        <x:v>65</x:v>
      </x:c>
      <x:c r="K128" s="42" t="n">
        <x:v>50</x:v>
      </x:c>
      <x:c r="L128" s="42" t="n">
        <x:v>35</x:v>
      </x:c>
      <x:c r="M128" s="42" t="n">
        <x:v>115</x:v>
      </x:c>
      <x:c r="N128" s="42" t="n">
        <x:v>95</x:v>
      </x:c>
      <x:c r="O128" s="42" t="n">
        <x:v>95</x:v>
      </x:c>
      <x:c r="P128" s="43" t="n">
        <x:f>IF(COUNT(J128:O128)=0,"",SUM(J128:O128))</x:f>
        <x:v>455</x:v>
      </x:c>
      <x:c r="Q128" s="23" t="str">
        <x:v>1 lignes de spawn</x:v>
      </x:c>
      <x:c r="R128" s="23" t="str">
        <x:v>Lippoutou marche en rythme en se dandinant comme s'il dansait. Ses mouvements sont si envoûtants que ceux qui les voient se retrouvent à se déhancher sans s'en rendre compte.</x:v>
      </x:c>
      <x:c r="S128" s="23" t="str"/>
      <x:c r="T128" s="23" t="str">
        <x:v>https://pixelmonmod.com/wiki/Jynx</x:v>
      </x:c>
    </x:row>
    <x:row r="129" ht="54" customHeight="1">
      <x:c r="A129" s="27" t="n">
        <x:v>125</x:v>
      </x:c>
      <x:c r="B129" s="23" t="str">
        <x:v>Élektek</x:v>
      </x:c>
      <x:c r="C129" s="23" t="str">
        <x:v>Electabuzz</x:v>
      </x:c>
      <x:c r="D129" s="23" t="str">
        <x:v>Électrik</x:v>
      </x:c>
      <x:c r="E129" s="23" t="str"/>
      <x:c r="F129" s="23" t="str">
        <x:v>Uncommon</x:v>
      </x:c>
      <x:c r="G129" s="45" t="n">
        <x:v>5000</x:v>
      </x:c>
      <x:c r="H129" s="45" t="n">
        <x:f>IF(G129="","",ROUNDUP(G129*3,0))</x:f>
        <x:v>15000</x:v>
      </x:c>
      <x:c r="I129" s="41" t="n">
        <x:v>0.667</x:v>
      </x:c>
      <x:c r="J129" s="42" t="n">
        <x:v>65</x:v>
      </x:c>
      <x:c r="K129" s="42" t="n">
        <x:v>83</x:v>
      </x:c>
      <x:c r="L129" s="42" t="n">
        <x:v>57</x:v>
      </x:c>
      <x:c r="M129" s="42" t="n">
        <x:v>95</x:v>
      </x:c>
      <x:c r="N129" s="42" t="n">
        <x:v>85</x:v>
      </x:c>
      <x:c r="O129" s="42" t="n">
        <x:v>105</x:v>
      </x:c>
      <x:c r="P129" s="43" t="n">
        <x:f>IF(COUNT(J129:O129)=0,"",SUM(J129:O129))</x:f>
        <x:v>490</x:v>
      </x:c>
      <x:c r="Q129" s="23" t="str">
        <x:v>3 lignes de spawn</x:v>
      </x:c>
      <x:c r="R129" s="23" t="str">
        <x:v>Quand un orage approche, des bandes d'Élektek se livrent compétition pour atteindre les hauteurs les plus susceptibles d'être frappées par la foudre. Certaines villes les utilisent comme paratonnerres vivants.</x:v>
      </x:c>
      <x:c r="S129" s="23" t="str"/>
      <x:c r="T129" s="23" t="str">
        <x:v>https://pixelmonmod.com/wiki/Electabuzz</x:v>
      </x:c>
    </x:row>
    <x:row r="130" ht="54" customHeight="1">
      <x:c r="A130" s="27" t="n">
        <x:v>126</x:v>
      </x:c>
      <x:c r="B130" s="23" t="str">
        <x:v>Magmar</x:v>
      </x:c>
      <x:c r="C130" s="23" t="str">
        <x:v>Magmar</x:v>
      </x:c>
      <x:c r="D130" s="23" t="str">
        <x:v>Feu</x:v>
      </x:c>
      <x:c r="E130" s="23" t="str"/>
      <x:c r="F130" s="23" t="str">
        <x:v>Rare</x:v>
      </x:c>
      <x:c r="G130" s="45" t="n">
        <x:v>12000</x:v>
      </x:c>
      <x:c r="H130" s="45" t="n">
        <x:f>IF(G130="","",ROUNDUP(G130*3,0))</x:f>
        <x:v>36000</x:v>
      </x:c>
      <x:c r="I130" s="41" t="n">
        <x:v>0.522</x:v>
      </x:c>
      <x:c r="J130" s="42" t="n">
        <x:v>65</x:v>
      </x:c>
      <x:c r="K130" s="42" t="n">
        <x:v>95</x:v>
      </x:c>
      <x:c r="L130" s="42" t="n">
        <x:v>57</x:v>
      </x:c>
      <x:c r="M130" s="42" t="n">
        <x:v>100</x:v>
      </x:c>
      <x:c r="N130" s="42" t="n">
        <x:v>85</x:v>
      </x:c>
      <x:c r="O130" s="42" t="n">
        <x:v>93</x:v>
      </x:c>
      <x:c r="P130" s="43" t="n">
        <x:f>IF(COUNT(J130:O130)=0,"",SUM(J130:O130))</x:f>
        <x:v>495</x:v>
      </x:c>
      <x:c r="Q130" s="23" t="str">
        <x:v>23 lignes de spawn</x:v>
      </x:c>
      <x:c r="R130" s="23" t="str">
        <x:v>En combat, Magmar projette des flammes brûlantes sur tout son corps pour intimider l'adversaire. Ses bouffées de flammes créent des vagues de chaleur qui enflamment l'herbe et les arbres alentour.</x:v>
      </x:c>
      <x:c r="S130" s="23" t="str"/>
      <x:c r="T130" s="23" t="str">
        <x:v>https://pixelmonmod.com/wiki/Magmar</x:v>
      </x:c>
    </x:row>
    <x:row r="131" ht="54" customHeight="1">
      <x:c r="A131" s="27" t="n">
        <x:v>127</x:v>
      </x:c>
      <x:c r="B131" s="23" t="str">
        <x:v>Scarabrute</x:v>
      </x:c>
      <x:c r="C131" s="23" t="str">
        <x:v>Pinsir</x:v>
      </x:c>
      <x:c r="D131" s="23" t="str">
        <x:v>Insecte</x:v>
      </x:c>
      <x:c r="E131" s="23" t="str"/>
      <x:c r="F131" s="23" t="str">
        <x:v>Ultra Rare</x:v>
      </x:c>
      <x:c r="G131" s="45" t="n">
        <x:v>75000</x:v>
      </x:c>
      <x:c r="H131" s="45" t="n">
        <x:f>IF(G131="","",ROUNDUP(G131*3,0))</x:f>
        <x:v>225000</x:v>
      </x:c>
      <x:c r="I131" s="41" t="n">
        <x:v>0.5710000000000001</x:v>
      </x:c>
      <x:c r="J131" s="42" t="n">
        <x:v>65</x:v>
      </x:c>
      <x:c r="K131" s="42" t="n">
        <x:v>125</x:v>
      </x:c>
      <x:c r="L131" s="42" t="n">
        <x:v>100</x:v>
      </x:c>
      <x:c r="M131" s="42" t="n">
        <x:v>55</x:v>
      </x:c>
      <x:c r="N131" s="42" t="n">
        <x:v>70</x:v>
      </x:c>
      <x:c r="O131" s="42" t="n">
        <x:v>85</x:v>
      </x:c>
      <x:c r="P131" s="43" t="n">
        <x:f>IF(COUNT(J131:O131)=0,"",SUM(J131:O131))</x:f>
        <x:v>500</x:v>
      </x:c>
      <x:c r="Q131" s="23" t="str">
        <x:v>7 lignes de spawn</x:v>
      </x:c>
      <x:c r="R131" s="23" t="str">
        <x:v>Scarabrute est incroyablement fort. Il peut soulever aisément un ennemi pesant deux fois son poids grâce à ses cornes. Ses mouvements deviennent lents dans les endroits froids.</x:v>
      </x:c>
      <x:c r="S131" s="23" t="str"/>
      <x:c r="T131" s="23" t="str">
        <x:v>https://pixelmonmod.com/wiki/Pinsir</x:v>
      </x:c>
    </x:row>
    <x:row r="132" ht="54" customHeight="1">
      <x:c r="A132" s="27" t="n">
        <x:v>128</x:v>
      </x:c>
      <x:c r="B132" s="23" t="str">
        <x:v>Tauros</x:v>
      </x:c>
      <x:c r="C132" s="23" t="str">
        <x:v>Tauros</x:v>
      </x:c>
      <x:c r="D132" s="23" t="str">
        <x:v>Normal</x:v>
      </x:c>
      <x:c r="E132" s="23" t="str"/>
      <x:c r="F132" s="23" t="str">
        <x:v>Ultra Rare</x:v>
      </x:c>
      <x:c r="G132" s="45" t="n">
        <x:v>75000</x:v>
      </x:c>
      <x:c r="H132" s="45" t="n">
        <x:f>IF(G132="","",ROUNDUP(G132*3,0))</x:f>
        <x:v>225000</x:v>
      </x:c>
      <x:c r="I132" s="41" t="n">
        <x:v>0.75</x:v>
      </x:c>
      <x:c r="J132" s="42" t="n">
        <x:v>75</x:v>
      </x:c>
      <x:c r="K132" s="42" t="n">
        <x:v>100</x:v>
      </x:c>
      <x:c r="L132" s="42" t="n">
        <x:v>95</x:v>
      </x:c>
      <x:c r="M132" s="42" t="n">
        <x:v>40</x:v>
      </x:c>
      <x:c r="N132" s="42" t="n">
        <x:v>70</x:v>
      </x:c>
      <x:c r="O132" s="42" t="n">
        <x:v>110</x:v>
      </x:c>
      <x:c r="P132" s="43" t="n">
        <x:f>IF(COUNT(J132:O132)=0,"",SUM(J132:O132))</x:f>
        <x:v>490</x:v>
      </x:c>
      <x:c r="Q132" s="23" t="str">
        <x:v>4 lignes de spawn</x:v>
      </x:c>
      <x:c r="R132" s="23" t="str">
        <x:v>Ce Pokémon n'est satisfait que lorsqu'il charge sans arrêt. S'il ne trouve aucun adversaire à affronter, il fonce dans les arbres épais pour se calmer.</x:v>
      </x:c>
      <x:c r="S132" s="23" t="str"/>
      <x:c r="T132" s="23" t="str">
        <x:v>https://pixelmonmod.com/wiki/Tauros</x:v>
      </x:c>
    </x:row>
    <x:row r="133" ht="54" customHeight="1">
      <x:c r="A133" s="27" t="n">
        <x:v>129</x:v>
      </x:c>
      <x:c r="B133" s="23" t="str">
        <x:v>Magicarpe</x:v>
      </x:c>
      <x:c r="C133" s="23" t="str">
        <x:v>Magikarp</x:v>
      </x:c>
      <x:c r="D133" s="23" t="str">
        <x:v>Eau</x:v>
      </x:c>
      <x:c r="E133" s="23" t="str"/>
      <x:c r="F133" s="23" t="str">
        <x:v>Common</x:v>
      </x:c>
      <x:c r="G133" s="45" t="n">
        <x:v>2000</x:v>
      </x:c>
      <x:c r="H133" s="45" t="n">
        <x:f>IF(G133="","",ROUNDUP(G133*3,0))</x:f>
        <x:v>6000</x:v>
      </x:c>
      <x:c r="I133" s="41" t="n">
        <x:v>0.7390000000000001</x:v>
      </x:c>
      <x:c r="J133" s="42" t="n">
        <x:v>20</x:v>
      </x:c>
      <x:c r="K133" s="42" t="n">
        <x:v>10</x:v>
      </x:c>
      <x:c r="L133" s="42" t="n">
        <x:v>55</x:v>
      </x:c>
      <x:c r="M133" s="42" t="n">
        <x:v>15</x:v>
      </x:c>
      <x:c r="N133" s="42" t="n">
        <x:v>20</x:v>
      </x:c>
      <x:c r="O133" s="42" t="n">
        <x:v>80</x:v>
      </x:c>
      <x:c r="P133" s="43" t="n">
        <x:f>IF(COUNT(J133:O133)=0,"",SUM(J133:O133))</x:f>
        <x:v>200</x:v>
      </x:c>
      <x:c r="Q133" s="23" t="str">
        <x:v>23 lignes de spawn</x:v>
      </x:c>
      <x:c r="R133" s="23" t="str">
        <x:v>Magicarpe est un Pokémon pitoyable qui ne sait que sautiller et éclabousser. Ce comportement a poussé les scientifiques à mener des recherches à son sujet.</x:v>
      </x:c>
      <x:c r="S133" s="23" t="str"/>
      <x:c r="T133" s="23" t="str">
        <x:v>https://pixelmonmod.com/wiki/Magikarp</x:v>
      </x:c>
    </x:row>
    <x:row r="134" ht="54" customHeight="1">
      <x:c r="A134" s="27" t="n">
        <x:v>130</x:v>
      </x:c>
      <x:c r="B134" s="23" t="str">
        <x:v>Léviator</x:v>
      </x:c>
      <x:c r="C134" s="23" t="str">
        <x:v>Gyarados</x:v>
      </x:c>
      <x:c r="D134" s="23" t="str">
        <x:v>Eau</x:v>
      </x:c>
      <x:c r="E134" s="23" t="str">
        <x:v>Vol</x:v>
      </x:c>
      <x:c r="F134" s="23" t="str">
        <x:v>Ultra Rare</x:v>
      </x:c>
      <x:c r="G134" s="45" t="n">
        <x:v>75000</x:v>
      </x:c>
      <x:c r="H134" s="45" t="n">
        <x:f>IF(G134="","",ROUNDUP(G134*3,0))</x:f>
        <x:v>225000</x:v>
      </x:c>
      <x:c r="I134" s="41" t="n">
        <x:v>0.7140000000000001</x:v>
      </x:c>
      <x:c r="J134" s="42" t="n">
        <x:v>95</x:v>
      </x:c>
      <x:c r="K134" s="42" t="n">
        <x:v>125</x:v>
      </x:c>
      <x:c r="L134" s="42" t="n">
        <x:v>79</x:v>
      </x:c>
      <x:c r="M134" s="42" t="n">
        <x:v>60</x:v>
      </x:c>
      <x:c r="N134" s="42" t="n">
        <x:v>100</x:v>
      </x:c>
      <x:c r="O134" s="42" t="n">
        <x:v>81</x:v>
      </x:c>
      <x:c r="P134" s="43" t="n">
        <x:f>IF(COUNT(J134:O134)=0,"",SUM(J134:O134))</x:f>
        <x:v>540</x:v>
      </x:c>
      <x:c r="Q134" s="23" t="str">
        <x:v>7 lignes de spawn</x:v>
      </x:c>
      <x:c r="R134" s="23" t="str">
        <x:v>Lorsque Magicarpe évolue en Léviator, ses cellules cérébrales subissent une transformation structurelle. On dit que cette mutation est à l'origine de sa nature extrêmement violente.</x:v>
      </x:c>
      <x:c r="S134" s="23" t="str"/>
      <x:c r="T134" s="23" t="str">
        <x:v>https://pixelmonmod.com/wiki/Gyarados</x:v>
      </x:c>
    </x:row>
    <x:row r="135" ht="54" customHeight="1">
      <x:c r="A135" s="27" t="n">
        <x:v>131</x:v>
      </x:c>
      <x:c r="B135" s="23" t="str">
        <x:v>Lokhlass</x:v>
      </x:c>
      <x:c r="C135" s="23" t="str">
        <x:v>Lapras</x:v>
      </x:c>
      <x:c r="D135" s="23" t="str">
        <x:v>Eau</x:v>
      </x:c>
      <x:c r="E135" s="23" t="str">
        <x:v>Glace</x:v>
      </x:c>
      <x:c r="F135" s="23" t="str">
        <x:v>Ultra Rare</x:v>
      </x:c>
      <x:c r="G135" s="45" t="n">
        <x:v>75000</x:v>
      </x:c>
      <x:c r="H135" s="45" t="n">
        <x:f>IF(G135="","",ROUNDUP(G135*3,0))</x:f>
        <x:v>225000</x:v>
      </x:c>
      <x:c r="I135" s="41" t="n">
        <x:v>1</x:v>
      </x:c>
      <x:c r="J135" s="42" t="n">
        <x:v>130</x:v>
      </x:c>
      <x:c r="K135" s="42" t="n">
        <x:v>85</x:v>
      </x:c>
      <x:c r="L135" s="42" t="n">
        <x:v>80</x:v>
      </x:c>
      <x:c r="M135" s="42" t="n">
        <x:v>85</x:v>
      </x:c>
      <x:c r="N135" s="42" t="n">
        <x:v>95</x:v>
      </x:c>
      <x:c r="O135" s="42" t="n">
        <x:v>60</x:v>
      </x:c>
      <x:c r="P135" s="43" t="n">
        <x:f>IF(COUNT(J135:O135)=0,"",SUM(J135:O135))</x:f>
        <x:v>535</x:v>
      </x:c>
      <x:c r="Q135" s="23" t="str">
        <x:v>2 lignes de spawn</x:v>
      </x:c>
      <x:c r="R135" s="23" t="str">
        <x:v>Les humains ont presque conduit Lokhlass à l'extinction. Le soir, on dit que ce Pokémon chante plaintivement en recherchant les rares congénères qui subsistent.</x:v>
      </x:c>
      <x:c r="S135" s="23" t="str"/>
      <x:c r="T135" s="23" t="str">
        <x:v>https://pixelmonmod.com/wiki/Lapras</x:v>
      </x:c>
    </x:row>
    <x:row r="136" ht="54" customHeight="1">
      <x:c r="A136" s="27" t="n">
        <x:v>132</x:v>
      </x:c>
      <x:c r="B136" s="23" t="str">
        <x:v>Métamorph</x:v>
      </x:c>
      <x:c r="C136" s="23" t="str">
        <x:v>Ditto</x:v>
      </x:c>
      <x:c r="D136" s="23" t="str">
        <x:v>Normal</x:v>
      </x:c>
      <x:c r="E136" s="23" t="str"/>
      <x:c r="F136" s="23" t="str">
        <x:v>Ultra Rare</x:v>
      </x:c>
      <x:c r="G136" s="45" t="n">
        <x:v>75000</x:v>
      </x:c>
      <x:c r="H136" s="45" t="n">
        <x:f>IF(G136="","",ROUNDUP(G136*3,0))</x:f>
        <x:v>225000</x:v>
      </x:c>
      <x:c r="I136" s="41" t="n">
        <x:v>1</x:v>
      </x:c>
      <x:c r="J136" s="42" t="n">
        <x:v>48</x:v>
      </x:c>
      <x:c r="K136" s="42" t="n">
        <x:v>48</x:v>
      </x:c>
      <x:c r="L136" s="42" t="n">
        <x:v>48</x:v>
      </x:c>
      <x:c r="M136" s="42" t="n">
        <x:v>48</x:v>
      </x:c>
      <x:c r="N136" s="42" t="n">
        <x:v>48</x:v>
      </x:c>
      <x:c r="O136" s="42" t="n">
        <x:v>48</x:v>
      </x:c>
      <x:c r="P136" s="43" t="n">
        <x:f>IF(COUNT(J136:O136)=0,"",SUM(J136:O136))</x:f>
        <x:v>288</x:v>
      </x:c>
      <x:c r="Q136" s="23" t="str">
        <x:v>1 lignes de spawn</x:v>
      </x:c>
      <x:c r="R136" s="23" t="str">
        <x:v>Métamorph réarrange sa structure cellulaire pour prendre d'autres formes. Cependant, s'il essaie de se transformer à partir d'un souvenir, il se trompe souvent dans les détails.</x:v>
      </x:c>
      <x:c r="S136" s="23" t="str"/>
      <x:c r="T136" s="23" t="str">
        <x:v>https://pixelmonmod.com/wiki/Ditto</x:v>
      </x:c>
    </x:row>
    <x:row r="137" ht="54" customHeight="1">
      <x:c r="A137" s="27" t="n">
        <x:v>133</x:v>
      </x:c>
      <x:c r="B137" s="23" t="str">
        <x:v>Évoli</x:v>
      </x:c>
      <x:c r="C137" s="23" t="str">
        <x:v>Eevee</x:v>
      </x:c>
      <x:c r="D137" s="23" t="str">
        <x:v>Normal</x:v>
      </x:c>
      <x:c r="E137" s="23" t="str"/>
      <x:c r="F137" s="23" t="str">
        <x:v>Rare</x:v>
      </x:c>
      <x:c r="G137" s="45" t="n">
        <x:v>12000</x:v>
      </x:c>
      <x:c r="H137" s="45" t="n">
        <x:f>IF(G137="","",ROUNDUP(G137*3,0))</x:f>
        <x:v>36000</x:v>
      </x:c>
      <x:c r="I137" s="41" t="n">
        <x:v>0.5</x:v>
      </x:c>
      <x:c r="J137" s="42" t="n">
        <x:v>55</x:v>
      </x:c>
      <x:c r="K137" s="42" t="n">
        <x:v>55</x:v>
      </x:c>
      <x:c r="L137" s="42" t="n">
        <x:v>50</x:v>
      </x:c>
      <x:c r="M137" s="42" t="n">
        <x:v>45</x:v>
      </x:c>
      <x:c r="N137" s="42" t="n">
        <x:v>65</x:v>
      </x:c>
      <x:c r="O137" s="42" t="n">
        <x:v>55</x:v>
      </x:c>
      <x:c r="P137" s="43" t="n">
        <x:f>IF(COUNT(J137:O137)=0,"",SUM(J137:O137))</x:f>
        <x:v>325</x:v>
      </x:c>
      <x:c r="Q137" s="23" t="str">
        <x:v>6 lignes de spawn</x:v>
      </x:c>
      <x:c r="R137" s="23" t="str">
        <x:v>Évoli possède une structure génétique instable qui change subitement en fonction de son environnement. L'énergie provenant de diverses Pierres lui permet d'évoluer.</x:v>
      </x:c>
      <x:c r="S137" s="23" t="str"/>
      <x:c r="T137" s="23" t="str">
        <x:v>https://pixelmonmod.com/wiki/Eevee</x:v>
      </x:c>
    </x:row>
    <x:row r="138" ht="54" customHeight="1">
      <x:c r="A138" s="27" t="n">
        <x:v>134</x:v>
      </x:c>
      <x:c r="B138" s="23" t="str">
        <x:v>Aquali</x:v>
      </x:c>
      <x:c r="C138" s="23" t="str">
        <x:v>Vaporeon</x:v>
      </x:c>
      <x:c r="D138" s="23" t="str">
        <x:v>Eau</x:v>
      </x:c>
      <x:c r="E138" s="23" t="str"/>
      <x:c r="F138" s="23" t="str">
        <x:v>Ultra Rare</x:v>
      </x:c>
      <x:c r="G138" s="45" t="n">
        <x:v>75000</x:v>
      </x:c>
      <x:c r="H138" s="45" t="n">
        <x:f>IF(G138="","",ROUNDUP(G138*3,0))</x:f>
        <x:v>225000</x:v>
      </x:c>
      <x:c r="I138" s="41" t="n">
        <x:v>0.875</x:v>
      </x:c>
      <x:c r="J138" s="42" t="n">
        <x:v>130</x:v>
      </x:c>
      <x:c r="K138" s="42" t="n">
        <x:v>65</x:v>
      </x:c>
      <x:c r="L138" s="42" t="n">
        <x:v>60</x:v>
      </x:c>
      <x:c r="M138" s="42" t="n">
        <x:v>110</x:v>
      </x:c>
      <x:c r="N138" s="42" t="n">
        <x:v>95</x:v>
      </x:c>
      <x:c r="O138" s="42" t="n">
        <x:v>65</x:v>
      </x:c>
      <x:c r="P138" s="43" t="n">
        <x:f>IF(COUNT(J138:O138)=0,"",SUM(J138:O138))</x:f>
        <x:v>525</x:v>
      </x:c>
      <x:c r="Q138" s="23" t="str">
        <x:v>8 lignes de spawn</x:v>
      </x:c>
      <x:c r="R138" s="23" t="str">
        <x:v>Aquali a subi une mutation spontanée et développé des nageoires et des branchies lui permettant de vivre sous l'eau. Ce Pokémon peut contrôler librement l'eau.</x:v>
      </x:c>
      <x:c r="S138" s="23" t="str"/>
      <x:c r="T138" s="23" t="str">
        <x:v>https://pixelmonmod.com/wiki/Vaporeon</x:v>
      </x:c>
    </x:row>
    <x:row r="139" ht="54" customHeight="1">
      <x:c r="A139" s="27" t="n">
        <x:v>135</x:v>
      </x:c>
      <x:c r="B139" s="23" t="str">
        <x:v>Voltali</x:v>
      </x:c>
      <x:c r="C139" s="23" t="str">
        <x:v>Jolteon</x:v>
      </x:c>
      <x:c r="D139" s="23" t="str">
        <x:v>Électrik</x:v>
      </x:c>
      <x:c r="E139" s="23" t="str"/>
      <x:c r="F139" s="23" t="str">
        <x:v>Ultra Rare</x:v>
      </x:c>
      <x:c r="G139" s="45" t="n">
        <x:v>75000</x:v>
      </x:c>
      <x:c r="H139" s="45" t="n">
        <x:f>IF(G139="","",ROUNDUP(G139*3,0))</x:f>
        <x:v>225000</x:v>
      </x:c>
      <x:c r="I139" s="41" t="n">
        <x:v>0.75</x:v>
      </x:c>
      <x:c r="J139" s="42" t="n">
        <x:v>65</x:v>
      </x:c>
      <x:c r="K139" s="42" t="n">
        <x:v>65</x:v>
      </x:c>
      <x:c r="L139" s="42" t="n">
        <x:v>60</x:v>
      </x:c>
      <x:c r="M139" s="42" t="n">
        <x:v>110</x:v>
      </x:c>
      <x:c r="N139" s="42" t="n">
        <x:v>95</x:v>
      </x:c>
      <x:c r="O139" s="42" t="n">
        <x:v>130</x:v>
      </x:c>
      <x:c r="P139" s="43" t="n">
        <x:f>IF(COUNT(J139:O139)=0,"",SUM(J139:O139))</x:f>
        <x:v>525</x:v>
      </x:c>
      <x:c r="Q139" s="23" t="str">
        <x:v>4 lignes de spawn</x:v>
      </x:c>
      <x:c r="R139" s="23" t="str">
        <x:v>Les cellules de Voltali génèrent une faible quantité d'électricité. Celle-ci est amplifiée par l'électricité statique de sa fourrure, ce qui lui permet de lancer des éclairs. Ses poils hérissés sont de petites aiguilles chargées.</x:v>
      </x:c>
      <x:c r="S139" s="23" t="str"/>
      <x:c r="T139" s="23" t="str">
        <x:v>https://pixelmonmod.com/wiki/Jolteon</x:v>
      </x:c>
    </x:row>
    <x:row r="140" ht="54" customHeight="1">
      <x:c r="A140" s="27" t="n">
        <x:v>136</x:v>
      </x:c>
      <x:c r="B140" s="23" t="str">
        <x:v>Pyroli</x:v>
      </x:c>
      <x:c r="C140" s="23" t="str">
        <x:v>Flareon</x:v>
      </x:c>
      <x:c r="D140" s="23" t="str">
        <x:v>Feu</x:v>
      </x:c>
      <x:c r="E140" s="23" t="str"/>
      <x:c r="F140" s="23" t="str">
        <x:v>Ultra Rare</x:v>
      </x:c>
      <x:c r="G140" s="45" t="n">
        <x:v>75000</x:v>
      </x:c>
      <x:c r="H140" s="45" t="n">
        <x:f>IF(G140="","",ROUNDUP(G140*3,0))</x:f>
        <x:v>225000</x:v>
      </x:c>
      <x:c r="I140" s="41" t="n">
        <x:v>0.667</x:v>
      </x:c>
      <x:c r="J140" s="42" t="n">
        <x:v>65</x:v>
      </x:c>
      <x:c r="K140" s="42" t="n">
        <x:v>130</x:v>
      </x:c>
      <x:c r="L140" s="42" t="n">
        <x:v>60</x:v>
      </x:c>
      <x:c r="M140" s="42" t="n">
        <x:v>95</x:v>
      </x:c>
      <x:c r="N140" s="42" t="n">
        <x:v>110</x:v>
      </x:c>
      <x:c r="O140" s="42" t="n">
        <x:v>65</x:v>
      </x:c>
      <x:c r="P140" s="43" t="n">
        <x:f>IF(COUNT(J140:O140)=0,"",SUM(J140:O140))</x:f>
        <x:v>525</x:v>
      </x:c>
      <x:c r="Q140" s="23" t="str">
        <x:v>3 lignes de spawn</x:v>
      </x:c>
      <x:c r="R140" s="23" t="str">
        <x:v>La fourrure duveteuse de Pyroli a une fonction : elle diffuse la chaleur pour éviter qu'il ne surchauffe. Sa température corporelle peut atteindre 900 °C.</x:v>
      </x:c>
      <x:c r="S140" s="23" t="str"/>
      <x:c r="T140" s="23" t="str">
        <x:v>https://pixelmonmod.com/wiki/Flareon</x:v>
      </x:c>
    </x:row>
    <x:row r="141" ht="54" customHeight="1">
      <x:c r="A141" s="27" t="n">
        <x:v>137</x:v>
      </x:c>
      <x:c r="B141" s="23" t="str">
        <x:v>Porygon</x:v>
      </x:c>
      <x:c r="C141" s="23" t="str">
        <x:v>Porygon</x:v>
      </x:c>
      <x:c r="D141" s="23" t="str">
        <x:v>Normal</x:v>
      </x:c>
      <x:c r="E141" s="23" t="str"/>
      <x:c r="F141" s="23" t="str">
        <x:v>Ultra Rare</x:v>
      </x:c>
      <x:c r="G141" s="45" t="n">
        <x:v>75000</x:v>
      </x:c>
      <x:c r="H141" s="45" t="n">
        <x:f>IF(G141="","",ROUNDUP(G141*3,0))</x:f>
        <x:v>225000</x:v>
      </x:c>
      <x:c r="I141" s="41" t="n">
        <x:v>1</x:v>
      </x:c>
      <x:c r="J141" s="42" t="n">
        <x:v>65</x:v>
      </x:c>
      <x:c r="K141" s="42" t="n">
        <x:v>60</x:v>
      </x:c>
      <x:c r="L141" s="42" t="n">
        <x:v>70</x:v>
      </x:c>
      <x:c r="M141" s="42" t="n">
        <x:v>85</x:v>
      </x:c>
      <x:c r="N141" s="42" t="n">
        <x:v>75</x:v>
      </x:c>
      <x:c r="O141" s="42" t="n">
        <x:v>40</x:v>
      </x:c>
      <x:c r="P141" s="43" t="n">
        <x:f>IF(COUNT(J141:O141)=0,"",SUM(J141:O141))</x:f>
        <x:v>395</x:v>
      </x:c>
      <x:c r="Q141" s="23" t="str">
        <x:v>1 lignes de spawn</x:v>
      </x:c>
      <x:c r="R141" s="23" t="str">
        <x:v>Porygon est capable de se convertir entièrement en données et d'entrer dans le cyberespace. Ce Pokémon est protégé contre la copie et ne peut être dupliqué.</x:v>
      </x:c>
      <x:c r="S141" s="23" t="str"/>
      <x:c r="T141" s="23" t="str">
        <x:v>https://pixelmonmod.com/wiki/Porygon</x:v>
      </x:c>
    </x:row>
    <x:row r="142" ht="54" customHeight="1">
      <x:c r="A142" s="27" t="n">
        <x:v>138</x:v>
      </x:c>
      <x:c r="B142" s="23" t="str">
        <x:v>Amonita</x:v>
      </x:c>
      <x:c r="C142" s="23" t="str">
        <x:v>Omanyte</x:v>
      </x:c>
      <x:c r="D142" s="23" t="str">
        <x:v>Roche</x:v>
      </x:c>
      <x:c r="E142" s="23" t="str">
        <x:v>Eau</x:v>
      </x:c>
      <x:c r="F142" s="23" t="str">
        <x:v>Rare</x:v>
      </x:c>
      <x:c r="G142" s="45" t="n">
        <x:v>12000</x:v>
      </x:c>
      <x:c r="H142" s="45" t="n">
        <x:f>IF(G142="","",ROUNDUP(G142*3,0))</x:f>
        <x:v>36000</x:v>
      </x:c>
      <x:c r="I142" s="41" t="n">
        <x:v>1</x:v>
      </x:c>
      <x:c r="J142" s="42" t="n">
        <x:v>35</x:v>
      </x:c>
      <x:c r="K142" s="42" t="n">
        <x:v>40</x:v>
      </x:c>
      <x:c r="L142" s="42" t="n">
        <x:v>100</x:v>
      </x:c>
      <x:c r="M142" s="42" t="n">
        <x:v>90</x:v>
      </x:c>
      <x:c r="N142" s="42" t="n">
        <x:v>55</x:v>
      </x:c>
      <x:c r="O142" s="42" t="n">
        <x:v>35</x:v>
      </x:c>
      <x:c r="P142" s="43" t="n">
        <x:f>IF(COUNT(J142:O142)=0,"",SUM(J142:O142))</x:f>
        <x:v>355</x:v>
      </x:c>
      <x:c r="Q142" s="23" t="str">
        <x:v>1 lignes de spawn</x:v>
      </x:c>
      <x:c r="R142" s="23" t="str">
        <x:v>Amonita est un Pokémon antique aujourd'hui disparu, régénéré à partir de fossiles. En cas d'attaque, il se replie dans sa carapace dure.</x:v>
      </x:c>
      <x:c r="S142" s="23" t="str"/>
      <x:c r="T142" s="23" t="str">
        <x:v>https://pixelmonmod.com/wiki/Omanyte</x:v>
      </x:c>
    </x:row>
    <x:row r="143" ht="54" customHeight="1">
      <x:c r="A143" s="27" t="n">
        <x:v>139</x:v>
      </x:c>
      <x:c r="B143" s="23" t="str">
        <x:v>Amonistar</x:v>
      </x:c>
      <x:c r="C143" s="23" t="str">
        <x:v>Omastar</x:v>
      </x:c>
      <x:c r="D143" s="23" t="str">
        <x:v>Roche</x:v>
      </x:c>
      <x:c r="E143" s="23" t="str">
        <x:v>Eau</x:v>
      </x:c>
      <x:c r="F143" s="23" t="str">
        <x:v>Ultra Rare</x:v>
      </x:c>
      <x:c r="G143" s="45" t="n">
        <x:v>75000</x:v>
      </x:c>
      <x:c r="H143" s="45" t="n">
        <x:f>IF(G143="","",ROUNDUP(G143*3,0))</x:f>
        <x:v>225000</x:v>
      </x:c>
      <x:c r="I143" s="41" t="n">
        <x:v>1</x:v>
      </x:c>
      <x:c r="J143" s="42" t="n">
        <x:v>70</x:v>
      </x:c>
      <x:c r="K143" s="42" t="n">
        <x:v>60</x:v>
      </x:c>
      <x:c r="L143" s="42" t="n">
        <x:v>125</x:v>
      </x:c>
      <x:c r="M143" s="42" t="n">
        <x:v>115</x:v>
      </x:c>
      <x:c r="N143" s="42" t="n">
        <x:v>70</x:v>
      </x:c>
      <x:c r="O143" s="42" t="n">
        <x:v>55</x:v>
      </x:c>
      <x:c r="P143" s="43" t="n">
        <x:f>IF(COUNT(J143:O143)=0,"",SUM(J143:O143))</x:f>
        <x:v>495</x:v>
      </x:c>
      <x:c r="Q143" s="23" t="str">
        <x:v>1 lignes de spawn</x:v>
      </x:c>
      <x:c r="R143" s="23" t="str">
        <x:v>Amonistar utilise ses tentacules pour capturer ses proies. On pense qu'il a disparu car sa carapace est devenue trop grande et lourde, le rendant trop lent et maladroit.</x:v>
      </x:c>
      <x:c r="S143" s="23" t="str"/>
      <x:c r="T143" s="23" t="str">
        <x:v>https://pixelmonmod.com/wiki/Omastar</x:v>
      </x:c>
    </x:row>
    <x:row r="144" ht="54" customHeight="1">
      <x:c r="A144" s="27" t="n">
        <x:v>140</x:v>
      </x:c>
      <x:c r="B144" s="23" t="str">
        <x:v>Kabuto</x:v>
      </x:c>
      <x:c r="C144" s="23" t="str">
        <x:v>Kabuto</x:v>
      </x:c>
      <x:c r="D144" s="23" t="str">
        <x:v>Roche</x:v>
      </x:c>
      <x:c r="E144" s="23" t="str">
        <x:v>Eau</x:v>
      </x:c>
      <x:c r="F144" s="23" t="str">
        <x:v>Rare</x:v>
      </x:c>
      <x:c r="G144" s="45" t="n">
        <x:v>12000</x:v>
      </x:c>
      <x:c r="H144" s="45" t="n">
        <x:f>IF(G144="","",ROUNDUP(G144*3,0))</x:f>
        <x:v>36000</x:v>
      </x:c>
      <x:c r="I144" s="41" t="n">
        <x:v>1</x:v>
      </x:c>
      <x:c r="J144" s="42" t="n">
        <x:v>30</x:v>
      </x:c>
      <x:c r="K144" s="42" t="n">
        <x:v>80</x:v>
      </x:c>
      <x:c r="L144" s="42" t="n">
        <x:v>90</x:v>
      </x:c>
      <x:c r="M144" s="42" t="n">
        <x:v>55</x:v>
      </x:c>
      <x:c r="N144" s="42" t="n">
        <x:v>45</x:v>
      </x:c>
      <x:c r="O144" s="42" t="n">
        <x:v>55</x:v>
      </x:c>
      <x:c r="P144" s="43" t="n">
        <x:f>IF(COUNT(J144:O144)=0,"",SUM(J144:O144))</x:f>
        <x:v>355</x:v>
      </x:c>
      <x:c r="Q144" s="23" t="str">
        <x:v>1 lignes de spawn</x:v>
      </x:c>
      <x:c r="R144" s="23" t="str">
        <x:v>Kabuto est un Pokémon ressuscité à partir d'un fossile. Cependant, dans de très rares cas, on en a trouvé encore vivants. Ce Pokémon n'a pas changé depuis 300 millions d'années.</x:v>
      </x:c>
      <x:c r="S144" s="23" t="str"/>
      <x:c r="T144" s="23" t="str">
        <x:v>https://pixelmonmod.com/wiki/Kabuto</x:v>
      </x:c>
    </x:row>
    <x:row r="145" ht="54" customHeight="1">
      <x:c r="A145" s="27" t="n">
        <x:v>141</x:v>
      </x:c>
      <x:c r="B145" s="23" t="str">
        <x:v>Kabutops</x:v>
      </x:c>
      <x:c r="C145" s="23" t="str">
        <x:v>Kabutops</x:v>
      </x:c>
      <x:c r="D145" s="23" t="str">
        <x:v>Roche</x:v>
      </x:c>
      <x:c r="E145" s="23" t="str">
        <x:v>Eau</x:v>
      </x:c>
      <x:c r="F145" s="23" t="str">
        <x:v>Ultra Rare</x:v>
      </x:c>
      <x:c r="G145" s="45" t="n">
        <x:v>75000</x:v>
      </x:c>
      <x:c r="H145" s="45" t="n">
        <x:f>IF(G145="","",ROUNDUP(G145*3,0))</x:f>
        <x:v>225000</x:v>
      </x:c>
      <x:c r="I145" s="41" t="n">
        <x:v>1</x:v>
      </x:c>
      <x:c r="J145" s="42" t="n">
        <x:v>60</x:v>
      </x:c>
      <x:c r="K145" s="42" t="n">
        <x:v>115</x:v>
      </x:c>
      <x:c r="L145" s="42" t="n">
        <x:v>105</x:v>
      </x:c>
      <x:c r="M145" s="42" t="n">
        <x:v>65</x:v>
      </x:c>
      <x:c r="N145" s="42" t="n">
        <x:v>70</x:v>
      </x:c>
      <x:c r="O145" s="42" t="n">
        <x:v>80</x:v>
      </x:c>
      <x:c r="P145" s="43" t="n">
        <x:f>IF(COUNT(J145:O145)=0,"",SUM(J145:O145))</x:f>
        <x:v>495</x:v>
      </x:c>
      <x:c r="Q145" s="23" t="str">
        <x:v>1 lignes de spawn</x:v>
      </x:c>
      <x:c r="R145" s="23" t="str">
        <x:v>Kabutops nageait sous l'eau pour chasser ses proies dans les temps anciens. On pense qu'il évoluait pour passer d'un mode de vie aquatique à terrestre, comme en témoignent les débuts de changement dans ses branchies et ses jambes.</x:v>
      </x:c>
      <x:c r="S145" s="23" t="str"/>
      <x:c r="T145" s="23" t="str">
        <x:v>https://pixelmonmod.com/wiki/Kabutops</x:v>
      </x:c>
    </x:row>
    <x:row r="146" ht="54" customHeight="1">
      <x:c r="A146" s="27" t="n">
        <x:v>142</x:v>
      </x:c>
      <x:c r="B146" s="23" t="str">
        <x:v>Ptéra</x:v>
      </x:c>
      <x:c r="C146" s="23" t="str">
        <x:v>Aerodactyl</x:v>
      </x:c>
      <x:c r="D146" s="23" t="str">
        <x:v>Roche</x:v>
      </x:c>
      <x:c r="E146" s="23" t="str">
        <x:v>Vol</x:v>
      </x:c>
      <x:c r="F146" s="23" t="str">
        <x:v>Very Rare / Ultra Rare</x:v>
      </x:c>
      <x:c r="G146" s="45" t="n">
        <x:v>75000</x:v>
      </x:c>
      <x:c r="H146" s="45" t="n">
        <x:f>IF(G146="","",ROUNDUP(G146*3,0))</x:f>
        <x:v>225000</x:v>
      </x:c>
      <x:c r="I146" s="41" t="n">
        <x:v>0.5</x:v>
      </x:c>
      <x:c r="J146" s="42" t="n">
        <x:v>80</x:v>
      </x:c>
      <x:c r="K146" s="42" t="n">
        <x:v>105</x:v>
      </x:c>
      <x:c r="L146" s="42" t="n">
        <x:v>65</x:v>
      </x:c>
      <x:c r="M146" s="42" t="n">
        <x:v>60</x:v>
      </x:c>
      <x:c r="N146" s="42" t="n">
        <x:v>75</x:v>
      </x:c>
      <x:c r="O146" s="42" t="n">
        <x:v>130</x:v>
      </x:c>
      <x:c r="P146" s="43" t="n">
        <x:f>IF(COUNT(J146:O146)=0,"",SUM(J146:O146))</x:f>
        <x:v>515</x:v>
      </x:c>
      <x:c r="Q146" s="23" t="str">
        <x:v>2 lignes de spawn</x:v>
      </x:c>
      <x:c r="R146" s="23" t="str">
        <x:v>Ptéra est un Pokémon de l'ère des dinosaures. Il a été régénéré à partir de matériel génétique extrait de l'ambre. On imagine qu'il a régné sur les cieux dans les temps anciens.</x:v>
      </x:c>
      <x:c r="S146" s="23" t="str">
        <x:v>Égalité de fréquence; prix provisoire basé sur le palier le plus élevé. Very Rare aligné sur le palier Super Rare (provisoire).</x:v>
      </x:c>
      <x:c r="T146" s="23" t="str">
        <x:v>https://pixelmonmod.com/wiki/Aerodactyl</x:v>
      </x:c>
    </x:row>
    <x:row r="147" ht="54" customHeight="1">
      <x:c r="A147" s="27" t="n">
        <x:v>143</x:v>
      </x:c>
      <x:c r="B147" s="23" t="str">
        <x:v>Ronflex</x:v>
      </x:c>
      <x:c r="C147" s="23" t="str">
        <x:v>Snorlax</x:v>
      </x:c>
      <x:c r="D147" s="23" t="str">
        <x:v>Normal</x:v>
      </x:c>
      <x:c r="E147" s="23" t="str"/>
      <x:c r="F147" s="23" t="str">
        <x:v>Ultra Rare</x:v>
      </x:c>
      <x:c r="G147" s="45" t="n">
        <x:v>75000</x:v>
      </x:c>
      <x:c r="H147" s="45" t="n">
        <x:f>IF(G147="","",ROUNDUP(G147*3,0))</x:f>
        <x:v>225000</x:v>
      </x:c>
      <x:c r="I147" s="41" t="n">
        <x:v>1</x:v>
      </x:c>
      <x:c r="J147" s="42" t="n">
        <x:v>160</x:v>
      </x:c>
      <x:c r="K147" s="42" t="n">
        <x:v>110</x:v>
      </x:c>
      <x:c r="L147" s="42" t="n">
        <x:v>65</x:v>
      </x:c>
      <x:c r="M147" s="42" t="n">
        <x:v>65</x:v>
      </x:c>
      <x:c r="N147" s="42" t="n">
        <x:v>110</x:v>
      </x:c>
      <x:c r="O147" s="42" t="n">
        <x:v>30</x:v>
      </x:c>
      <x:c r="P147" s="43" t="n">
        <x:f>IF(COUNT(J147:O147)=0,"",SUM(J147:O147))</x:f>
        <x:v>540</x:v>
      </x:c>
      <x:c r="Q147" s="23" t="str">
        <x:v>6 lignes de spawn</x:v>
      </x:c>
      <x:c r="R147" s="23" t="str">
        <x:v>Ronflex passe ses journées à manger et à dormir. Ce Pokémon est si docile que certains enfants jouent sur son énorme ventre.</x:v>
      </x:c>
      <x:c r="S147" s="23" t="str"/>
      <x:c r="T147" s="23" t="str">
        <x:v>https://pixelmonmod.com/wiki/Snorlax</x:v>
      </x:c>
    </x:row>
    <x:row r="148" ht="54" customHeight="1">
      <x:c r="A148" s="27" t="n">
        <x:v>147</x:v>
      </x:c>
      <x:c r="B148" s="23" t="str">
        <x:v>Minidraco</x:v>
      </x:c>
      <x:c r="C148" s="23" t="str">
        <x:v>Dratini</x:v>
      </x:c>
      <x:c r="D148" s="23" t="str">
        <x:v>Dragon</x:v>
      </x:c>
      <x:c r="E148" s="23" t="str"/>
      <x:c r="F148" s="23" t="str">
        <x:v>Ultra Rare</x:v>
      </x:c>
      <x:c r="G148" s="45" t="n">
        <x:v>75000</x:v>
      </x:c>
      <x:c r="H148" s="45" t="n">
        <x:f>IF(G148="","",ROUNDUP(G148*3,0))</x:f>
        <x:v>225000</x:v>
      </x:c>
      <x:c r="I148" s="41" t="n">
        <x:v>0.579</x:v>
      </x:c>
      <x:c r="J148" s="42" t="n">
        <x:v>41</x:v>
      </x:c>
      <x:c r="K148" s="42" t="n">
        <x:v>64</x:v>
      </x:c>
      <x:c r="L148" s="42" t="n">
        <x:v>45</x:v>
      </x:c>
      <x:c r="M148" s="42" t="n">
        <x:v>50</x:v>
      </x:c>
      <x:c r="N148" s="42" t="n">
        <x:v>50</x:v>
      </x:c>
      <x:c r="O148" s="42" t="n">
        <x:v>50</x:v>
      </x:c>
      <x:c r="P148" s="43" t="n">
        <x:f>IF(COUNT(J148:O148)=0,"",SUM(J148:O148))</x:f>
        <x:v>300</x:v>
      </x:c>
      <x:c r="Q148" s="23" t="str">
        <x:v>19 lignes de spawn</x:v>
      </x:c>
      <x:c r="R148" s="23" t="str">
        <x:v>Minidraco mue constamment pour se débarrasser de son ancienne peau. Il le fait car l'énergie vitale dans son corps s'accumule au point de devenir incontrôlable.</x:v>
      </x:c>
      <x:c r="S148" s="23" t="str"/>
      <x:c r="T148" s="23" t="str">
        <x:v>https://pixelmonmod.com/wiki/Dratini</x:v>
      </x:c>
    </x:row>
    <x:row r="149" ht="54" customHeight="1">
      <x:c r="A149" s="27" t="n">
        <x:v>148</x:v>
      </x:c>
      <x:c r="B149" s="23" t="str">
        <x:v>Draco</x:v>
      </x:c>
      <x:c r="C149" s="23" t="str">
        <x:v>Dragonair</x:v>
      </x:c>
      <x:c r="D149" s="23" t="str">
        <x:v>Dragon</x:v>
      </x:c>
      <x:c r="E149" s="23" t="str"/>
      <x:c r="F149" s="23" t="str">
        <x:v>Ultra Rare</x:v>
      </x:c>
      <x:c r="G149" s="45" t="n">
        <x:v>75000</x:v>
      </x:c>
      <x:c r="H149" s="45" t="n">
        <x:f>IF(G149="","",ROUNDUP(G149*3,0))</x:f>
        <x:v>225000</x:v>
      </x:c>
      <x:c r="I149" s="41" t="n">
        <x:v>1</x:v>
      </x:c>
      <x:c r="J149" s="42" t="n">
        <x:v>61</x:v>
      </x:c>
      <x:c r="K149" s="42" t="n">
        <x:v>84</x:v>
      </x:c>
      <x:c r="L149" s="42" t="n">
        <x:v>65</x:v>
      </x:c>
      <x:c r="M149" s="42" t="n">
        <x:v>70</x:v>
      </x:c>
      <x:c r="N149" s="42" t="n">
        <x:v>70</x:v>
      </x:c>
      <x:c r="O149" s="42" t="n">
        <x:v>70</x:v>
      </x:c>
      <x:c r="P149" s="43" t="n">
        <x:f>IF(COUNT(J149:O149)=0,"",SUM(J149:O149))</x:f>
        <x:v>420</x:v>
      </x:c>
      <x:c r="Q149" s="23" t="str">
        <x:v>10 lignes de spawn</x:v>
      </x:c>
      <x:c r="R149" s="23" t="str">
        <x:v>Draco stocke une immense quantité d'énergie dans son corps. On dit qu'il peut modifier le climat autour de lui en libérant l'énergie de ses cristaux.</x:v>
      </x:c>
      <x:c r="S149" s="23" t="str"/>
      <x:c r="T149" s="23" t="str">
        <x:v>https://pixelmonmod.com/wiki/Dragonair</x:v>
      </x:c>
    </x:row>
    <x:row r="150" ht="54" customHeight="1">
      <x:c r="A150" s="27" t="n">
        <x:v>149</x:v>
      </x:c>
      <x:c r="B150" s="23" t="str">
        <x:v>Dracolosse</x:v>
      </x:c>
      <x:c r="C150" s="23" t="str">
        <x:v>Dragonite</x:v>
      </x:c>
      <x:c r="D150" s="23" t="str">
        <x:v>Dragon</x:v>
      </x:c>
      <x:c r="E150" s="23" t="str">
        <x:v>Vol</x:v>
      </x:c>
      <x:c r="F150" s="23" t="str">
        <x:v>Ultra Rare</x:v>
      </x:c>
      <x:c r="G150" s="45" t="n">
        <x:v>75000</x:v>
      </x:c>
      <x:c r="H150" s="45" t="n">
        <x:f>IF(G150="","",ROUNDUP(G150*3,0))</x:f>
        <x:v>225000</x:v>
      </x:c>
      <x:c r="I150" s="41" t="n">
        <x:v>1</x:v>
      </x:c>
      <x:c r="J150" s="42" t="n">
        <x:v>91</x:v>
      </x:c>
      <x:c r="K150" s="42" t="n">
        <x:v>134</x:v>
      </x:c>
      <x:c r="L150" s="42" t="n">
        <x:v>95</x:v>
      </x:c>
      <x:c r="M150" s="42" t="n">
        <x:v>100</x:v>
      </x:c>
      <x:c r="N150" s="42" t="n">
        <x:v>100</x:v>
      </x:c>
      <x:c r="O150" s="42" t="n">
        <x:v>80</x:v>
      </x:c>
      <x:c r="P150" s="43" t="n">
        <x:f>IF(COUNT(J150:O150)=0,"",SUM(J150:O150))</x:f>
        <x:v>600</x:v>
      </x:c>
      <x:c r="Q150" s="23" t="str">
        <x:v>11 lignes de spawn</x:v>
      </x:c>
      <x:c r="R150" s="23" t="str">
        <x:v>Dracolosse peut faire le tour du monde en seulement 16 heures. C'est un Pokémon au grand cœur, qui guide les navires perdus en pleine tempête vers la terre ferme.</x:v>
      </x:c>
      <x:c r="S150" s="23" t="str"/>
      <x:c r="T150" s="23" t="str">
        <x:v>https://pixelmonmod.com/wiki/Dragonite</x:v>
      </x:c>
    </x:row>
    <x:row r="151" ht="54" customHeight="1">
      <x:c r="A151" s="27" t="n">
        <x:v>151</x:v>
      </x:c>
      <x:c r="B151" s="23" t="str">
        <x:v>Mew</x:v>
      </x:c>
      <x:c r="C151" s="23" t="str">
        <x:v>Mew</x:v>
      </x:c>
      <x:c r="D151" s="23" t="str">
        <x:v>Psy</x:v>
      </x:c>
      <x:c r="E151" s="23" t="str"/>
      <x:c r="F151" s="23" t="str">
        <x:v>Non classé</x:v>
      </x:c>
      <x:c r="G151" s="45"/>
      <x:c r="H151" s="45" t="str">
        <x:f>IF(G151="","",ROUNDUP(G151*3,0))</x:f>
      </x:c>
      <x:c r="I151" s="41"/>
      <x:c r="J151" s="42" t="n">
        <x:v>100</x:v>
      </x:c>
      <x:c r="K151" s="42" t="n">
        <x:v>100</x:v>
      </x:c>
      <x:c r="L151" s="42" t="n">
        <x:v>100</x:v>
      </x:c>
      <x:c r="M151" s="42" t="n">
        <x:v>100</x:v>
      </x:c>
      <x:c r="N151" s="42" t="n">
        <x:v>100</x:v>
      </x:c>
      <x:c r="O151" s="42" t="n">
        <x:v>100</x:v>
      </x:c>
      <x:c r="P151" s="43" t="n">
        <x:f>IF(COUNT(J151:O151)=0,"",SUM(J151:O151))</x:f>
        <x:v>600</x:v>
      </x:c>
      <x:c r="Q151" s="23" t="str">
        <x:v>Aucune ligne classée</x:v>
      </x:c>
      <x:c r="R151" s="23" t="str">
        <x:v>On dit que Mew possède la composition génétique de tous les Pokémon. Il est capable de devenir invisible à volonté, ce qui lui permet de passer totalement inaperçu, même auprès des humains.</x:v>
      </x:c>
      <x:c r="S151" s="23" t="str">
        <x:v>Fabuleux : vente et prix à valider.</x:v>
      </x:c>
      <x:c r="T151" s="23" t="str">
        <x:v>https://pixelmonmod.com/wiki/Mew</x:v>
      </x:c>
    </x:row>
    <x:row r="152" ht="54" customHeight="1">
      <x:c r="A152" s="27" t="n">
        <x:v>152</x:v>
      </x:c>
      <x:c r="B152" s="23" t="str">
        <x:v>Germignon</x:v>
      </x:c>
      <x:c r="C152" s="23" t="str">
        <x:v>Chikorita</x:v>
      </x:c>
      <x:c r="D152" s="23" t="str">
        <x:v>Plante</x:v>
      </x:c>
      <x:c r="E152" s="23" t="str"/>
      <x:c r="F152" s="23" t="str">
        <x:v>Very Rare / Ultra Rare</x:v>
      </x:c>
      <x:c r="G152" s="45" t="n">
        <x:v>75000</x:v>
      </x:c>
      <x:c r="H152" s="45" t="n">
        <x:f>IF(G152="","",ROUNDUP(G152*3,0))</x:f>
        <x:v>225000</x:v>
      </x:c>
      <x:c r="I152" s="41" t="n">
        <x:v>0.5</x:v>
      </x:c>
      <x:c r="J152" s="42" t="n">
        <x:v>45</x:v>
      </x:c>
      <x:c r="K152" s="42" t="n">
        <x:v>49</x:v>
      </x:c>
      <x:c r="L152" s="42" t="n">
        <x:v>65</x:v>
      </x:c>
      <x:c r="M152" s="42" t="n">
        <x:v>49</x:v>
      </x:c>
      <x:c r="N152" s="42" t="n">
        <x:v>65</x:v>
      </x:c>
      <x:c r="O152" s="42" t="n">
        <x:v>45</x:v>
      </x:c>
      <x:c r="P152" s="43" t="n">
        <x:f>IF(COUNT(J152:O152)=0,"",SUM(J152:O152))</x:f>
        <x:v>318</x:v>
      </x:c>
      <x:c r="Q152" s="23" t="str">
        <x:v>4 lignes de spawn</x:v>
      </x:c>
      <x:c r="R152" s="23" t="str">
        <x:v>En combat, Germignon agite sa feuille pour tenir l'ennemi à distance. Cependant, un doux parfum s'en échappe, calmant les Pokémon et créant une atmosphère paisible et chaleureuse.</x:v>
      </x:c>
      <x:c r="S152" s="23" t="str">
        <x:v>Égalité de fréquence; prix provisoire basé sur le palier le plus élevé. Very Rare aligné sur le palier Super Rare (provisoire).</x:v>
      </x:c>
      <x:c r="T152" s="23" t="str">
        <x:v>https://pixelmonmod.com/wiki/Chikorita</x:v>
      </x:c>
    </x:row>
    <x:row r="153" ht="54" customHeight="1">
      <x:c r="A153" s="27" t="n">
        <x:v>153</x:v>
      </x:c>
      <x:c r="B153" s="23" t="str">
        <x:v>Macronium</x:v>
      </x:c>
      <x:c r="C153" s="23" t="str">
        <x:v>Bayleef</x:v>
      </x:c>
      <x:c r="D153" s="23" t="str">
        <x:v>Plante</x:v>
      </x:c>
      <x:c r="E153" s="23" t="str"/>
      <x:c r="F153" s="23" t="str">
        <x:v>Non classé</x:v>
      </x:c>
      <x:c r="G153" s="45"/>
      <x:c r="H153" s="45" t="str">
        <x:f>IF(G153="","",ROUNDUP(G153*3,0))</x:f>
      </x:c>
      <x:c r="I153" s="41"/>
      <x:c r="J153" s="42" t="n">
        <x:v>60</x:v>
      </x:c>
      <x:c r="K153" s="42" t="n">
        <x:v>62</x:v>
      </x:c>
      <x:c r="L153" s="42" t="n">
        <x:v>80</x:v>
      </x:c>
      <x:c r="M153" s="42" t="n">
        <x:v>63</x:v>
      </x:c>
      <x:c r="N153" s="42" t="n">
        <x:v>80</x:v>
      </x:c>
      <x:c r="O153" s="42" t="n">
        <x:v>60</x:v>
      </x:c>
      <x:c r="P153" s="43" t="n">
        <x:f>IF(COUNT(J153:O153)=0,"",SUM(J153:O153))</x:f>
        <x:v>405</x:v>
      </x:c>
      <x:c r="Q153" s="23" t="str">
        <x:v>Aucune ligne classée</x:v>
      </x:c>
      <x:c r="R153" s="23" t="str">
        <x:v>Le cou de Macronium est entouré de feuilles enroulées. À l'intérieur de chaque feuille tubulaire pousse un jeune bourgeon d'arbre. Son parfum revigore quiconque le respire.</x:v>
      </x:c>
      <x:c r="S153" s="23" t="str">
        <x:v>Aucune rareté wiki exploitable; prix à fixer.</x:v>
      </x:c>
      <x:c r="T153" s="23" t="str">
        <x:v>https://pixelmonmod.com/wiki/Bayleef</x:v>
      </x:c>
    </x:row>
    <x:row r="154" ht="54" customHeight="1">
      <x:c r="A154" s="27" t="n">
        <x:v>154</x:v>
      </x:c>
      <x:c r="B154" s="23" t="str">
        <x:v>Méganium</x:v>
      </x:c>
      <x:c r="C154" s="23" t="str">
        <x:v>Meganium</x:v>
      </x:c>
      <x:c r="D154" s="23" t="str">
        <x:v>Plante</x:v>
      </x:c>
      <x:c r="E154" s="23" t="str"/>
      <x:c r="F154" s="23" t="str">
        <x:v>Non classé</x:v>
      </x:c>
      <x:c r="G154" s="45"/>
      <x:c r="H154" s="45" t="str">
        <x:f>IF(G154="","",ROUNDUP(G154*3,0))</x:f>
      </x:c>
      <x:c r="I154" s="41"/>
      <x:c r="J154" s="42" t="n">
        <x:v>80</x:v>
      </x:c>
      <x:c r="K154" s="42" t="n">
        <x:v>82</x:v>
      </x:c>
      <x:c r="L154" s="42" t="n">
        <x:v>100</x:v>
      </x:c>
      <x:c r="M154" s="42" t="n">
        <x:v>83</x:v>
      </x:c>
      <x:c r="N154" s="42" t="n">
        <x:v>100</x:v>
      </x:c>
      <x:c r="O154" s="42" t="n">
        <x:v>80</x:v>
      </x:c>
      <x:c r="P154" s="43" t="n">
        <x:f>IF(COUNT(J154:O154)=0,"",SUM(J154:O154))</x:f>
        <x:v>525</x:v>
      </x:c>
      <x:c r="Q154" s="23" t="str">
        <x:v>Aucune ligne classée</x:v>
      </x:c>
      <x:c r="R154" s="23" t="str">
        <x:v>Le parfum de la fleur de Méganium apaise et calme les émotions. En combat, ce Pokémon libère un parfum encore plus relaxant pour diminuer l'agressivité de son adversaire.</x:v>
      </x:c>
      <x:c r="S154" s="23" t="str">
        <x:v>Aucune rareté wiki exploitable; prix à fixer.</x:v>
      </x:c>
      <x:c r="T154" s="23" t="str">
        <x:v>https://pixelmonmod.com/wiki/Meganium</x:v>
      </x:c>
    </x:row>
    <x:row r="155" ht="54" customHeight="1">
      <x:c r="A155" s="27" t="n">
        <x:v>155</x:v>
      </x:c>
      <x:c r="B155" s="23" t="str">
        <x:v>Héricendre</x:v>
      </x:c>
      <x:c r="C155" s="23" t="str">
        <x:v>Cyndaquil</x:v>
      </x:c>
      <x:c r="D155" s="23" t="str">
        <x:v>Feu</x:v>
      </x:c>
      <x:c r="E155" s="23" t="str"/>
      <x:c r="F155" s="23" t="str">
        <x:v>Ultra Rare</x:v>
      </x:c>
      <x:c r="G155" s="45" t="n">
        <x:v>75000</x:v>
      </x:c>
      <x:c r="H155" s="45" t="n">
        <x:f>IF(G155="","",ROUNDUP(G155*3,0))</x:f>
        <x:v>225000</x:v>
      </x:c>
      <x:c r="I155" s="41" t="n">
        <x:v>1</x:v>
      </x:c>
      <x:c r="J155" s="42" t="n">
        <x:v>39</x:v>
      </x:c>
      <x:c r="K155" s="42" t="n">
        <x:v>52</x:v>
      </x:c>
      <x:c r="L155" s="42" t="n">
        <x:v>43</x:v>
      </x:c>
      <x:c r="M155" s="42" t="n">
        <x:v>60</x:v>
      </x:c>
      <x:c r="N155" s="42" t="n">
        <x:v>50</x:v>
      </x:c>
      <x:c r="O155" s="42" t="n">
        <x:v>65</x:v>
      </x:c>
      <x:c r="P155" s="43" t="n">
        <x:f>IF(COUNT(J155:O155)=0,"",SUM(J155:O155))</x:f>
        <x:v>309</x:v>
      </x:c>
      <x:c r="Q155" s="23" t="str">
        <x:v>3 lignes de spawn</x:v>
      </x:c>
      <x:c r="R155" s="23" t="str">
        <x:v>Héricendre se protège en allumant les flammes sur son dos. Elles sont vives lorsqu'il est en colère, mais lorsqu'il est fatigué, elles vacillent et brûlent mal.</x:v>
      </x:c>
      <x:c r="S155" s="23" t="str"/>
      <x:c r="T155" s="23" t="str">
        <x:v>https://pixelmonmod.com/wiki/Cyndaquil</x:v>
      </x:c>
    </x:row>
    <x:row r="156" ht="54" customHeight="1">
      <x:c r="A156" s="27" t="n">
        <x:v>156</x:v>
      </x:c>
      <x:c r="B156" s="23" t="str">
        <x:v>Feurisson</x:v>
      </x:c>
      <x:c r="C156" s="23" t="str">
        <x:v>Quilava</x:v>
      </x:c>
      <x:c r="D156" s="23" t="str">
        <x:v>Feu</x:v>
      </x:c>
      <x:c r="E156" s="23" t="str"/>
      <x:c r="F156" s="23" t="str">
        <x:v>Ultra Rare</x:v>
      </x:c>
      <x:c r="G156" s="45" t="n">
        <x:v>75000</x:v>
      </x:c>
      <x:c r="H156" s="45" t="n">
        <x:f>IF(G156="","",ROUNDUP(G156*3,0))</x:f>
        <x:v>225000</x:v>
      </x:c>
      <x:c r="I156" s="41" t="n">
        <x:v>1</x:v>
      </x:c>
      <x:c r="J156" s="42" t="n">
        <x:v>58</x:v>
      </x:c>
      <x:c r="K156" s="42" t="n">
        <x:v>64</x:v>
      </x:c>
      <x:c r="L156" s="42" t="n">
        <x:v>58</x:v>
      </x:c>
      <x:c r="M156" s="42" t="n">
        <x:v>80</x:v>
      </x:c>
      <x:c r="N156" s="42" t="n">
        <x:v>65</x:v>
      </x:c>
      <x:c r="O156" s="42" t="n">
        <x:v>80</x:v>
      </x:c>
      <x:c r="P156" s="43" t="n">
        <x:f>IF(COUNT(J156:O156)=0,"",SUM(J156:O156))</x:f>
        <x:v>405</x:v>
      </x:c>
      <x:c r="Q156" s="23" t="str">
        <x:v>3 lignes de spawn</x:v>
      </x:c>
      <x:c r="R156" s="23" t="str">
        <x:v>Feurisson maintient ses ennemis à distance grâce à l'intensité de ses flammes et à des rafales d'air surchauffé. Son agilité exceptionnelle lui permet d'esquiver les attaques tout en brûlant l'adversaire.</x:v>
      </x:c>
      <x:c r="S156" s="23" t="str"/>
      <x:c r="T156" s="23" t="str">
        <x:v>https://pixelmonmod.com/wiki/Quilava</x:v>
      </x:c>
    </x:row>
    <x:row r="157" ht="54" customHeight="1">
      <x:c r="A157" s="27" t="n">
        <x:v>157</x:v>
      </x:c>
      <x:c r="B157" s="23" t="str">
        <x:v>Typhlosion</x:v>
      </x:c>
      <x:c r="C157" s="23" t="str">
        <x:v>Typhlosion</x:v>
      </x:c>
      <x:c r="D157" s="23" t="str">
        <x:v>Feu</x:v>
      </x:c>
      <x:c r="E157" s="23" t="str"/>
      <x:c r="F157" s="23" t="str">
        <x:v>Ultra Rare</x:v>
      </x:c>
      <x:c r="G157" s="45" t="n">
        <x:v>75000</x:v>
      </x:c>
      <x:c r="H157" s="45" t="n">
        <x:f>IF(G157="","",ROUNDUP(G157*3,0))</x:f>
        <x:v>225000</x:v>
      </x:c>
      <x:c r="I157" s="41" t="n">
        <x:v>1</x:v>
      </x:c>
      <x:c r="J157" s="42" t="n">
        <x:v>78</x:v>
      </x:c>
      <x:c r="K157" s="42" t="n">
        <x:v>84</x:v>
      </x:c>
      <x:c r="L157" s="42" t="n">
        <x:v>78</x:v>
      </x:c>
      <x:c r="M157" s="42" t="n">
        <x:v>109</x:v>
      </x:c>
      <x:c r="N157" s="42" t="n">
        <x:v>85</x:v>
      </x:c>
      <x:c r="O157" s="42" t="n">
        <x:v>100</x:v>
      </x:c>
      <x:c r="P157" s="43" t="n">
        <x:f>IF(COUNT(J157:O157)=0,"",SUM(J157:O157))</x:f>
        <x:v>534</x:v>
      </x:c>
      <x:c r="Q157" s="23" t="str">
        <x:v>4 lignes de spawn</x:v>
      </x:c>
      <x:c r="R157" s="23" t="str">
        <x:v>Typhlosion se dissimule derrière un mirage de chaleur qu'il crée grâce à ses flammes brûlantes. Il déclenche d'immenses explosions qui réduisent tout en cendres.</x:v>
      </x:c>
      <x:c r="S157" s="23" t="str"/>
      <x:c r="T157" s="23" t="str">
        <x:v>https://pixelmonmod.com/wiki/Typhlosion</x:v>
      </x:c>
    </x:row>
    <x:row r="158" ht="54" customHeight="1">
      <x:c r="A158" s="27" t="n">
        <x:v>158</x:v>
      </x:c>
      <x:c r="B158" s="23" t="str">
        <x:v>Kaiminus</x:v>
      </x:c>
      <x:c r="C158" s="23" t="str">
        <x:v>Totodile</x:v>
      </x:c>
      <x:c r="D158" s="23" t="str">
        <x:v>Eau</x:v>
      </x:c>
      <x:c r="E158" s="23" t="str"/>
      <x:c r="F158" s="23" t="str">
        <x:v>Ultra Rare</x:v>
      </x:c>
      <x:c r="G158" s="45" t="n">
        <x:v>75000</x:v>
      </x:c>
      <x:c r="H158" s="45" t="n">
        <x:f>IF(G158="","",ROUNDUP(G158*3,0))</x:f>
        <x:v>225000</x:v>
      </x:c>
      <x:c r="I158" s="41" t="n">
        <x:v>0.75</x:v>
      </x:c>
      <x:c r="J158" s="42" t="n">
        <x:v>50</x:v>
      </x:c>
      <x:c r="K158" s="42" t="n">
        <x:v>65</x:v>
      </x:c>
      <x:c r="L158" s="42" t="n">
        <x:v>64</x:v>
      </x:c>
      <x:c r="M158" s="42" t="n">
        <x:v>44</x:v>
      </x:c>
      <x:c r="N158" s="42" t="n">
        <x:v>48</x:v>
      </x:c>
      <x:c r="O158" s="42" t="n">
        <x:v>43</x:v>
      </x:c>
      <x:c r="P158" s="43" t="n">
        <x:f>IF(COUNT(J158:O158)=0,"",SUM(J158:O158))</x:f>
        <x:v>314</x:v>
      </x:c>
      <x:c r="Q158" s="23" t="str">
        <x:v>8 lignes de spawn</x:v>
      </x:c>
      <x:c r="R158" s="23" t="str">
        <x:v>Malgré sa petite taille, la mâchoire de Kaiminus est très puissante. Alors qu'il pense ne faire que mordiller en jouant, sa morsure peut causer des blessures graves.</x:v>
      </x:c>
      <x:c r="S158" s="23" t="str"/>
      <x:c r="T158" s="23" t="str">
        <x:v>https://pixelmonmod.com/wiki/Totodile</x:v>
      </x:c>
    </x:row>
    <x:row r="159" ht="54" customHeight="1">
      <x:c r="A159" s="27" t="n">
        <x:v>159</x:v>
      </x:c>
      <x:c r="B159" s="23" t="str">
        <x:v>Crocrodil</x:v>
      </x:c>
      <x:c r="C159" s="23" t="str">
        <x:v>Croconaw</x:v>
      </x:c>
      <x:c r="D159" s="23" t="str">
        <x:v>Eau</x:v>
      </x:c>
      <x:c r="E159" s="23" t="str"/>
      <x:c r="F159" s="23" t="str">
        <x:v>Ultra Rare</x:v>
      </x:c>
      <x:c r="G159" s="45" t="n">
        <x:v>75000</x:v>
      </x:c>
      <x:c r="H159" s="45" t="n">
        <x:f>IF(G159="","",ROUNDUP(G159*3,0))</x:f>
        <x:v>225000</x:v>
      </x:c>
      <x:c r="I159" s="41" t="n">
        <x:v>0.667</x:v>
      </x:c>
      <x:c r="J159" s="42" t="n">
        <x:v>65</x:v>
      </x:c>
      <x:c r="K159" s="42" t="n">
        <x:v>80</x:v>
      </x:c>
      <x:c r="L159" s="42" t="n">
        <x:v>80</x:v>
      </x:c>
      <x:c r="M159" s="42" t="n">
        <x:v>59</x:v>
      </x:c>
      <x:c r="N159" s="42" t="n">
        <x:v>63</x:v>
      </x:c>
      <x:c r="O159" s="42" t="n">
        <x:v>58</x:v>
      </x:c>
      <x:c r="P159" s="43" t="n">
        <x:f>IF(COUNT(J159:O159)=0,"",SUM(J159:O159))</x:f>
        <x:v>405</x:v>
      </x:c>
      <x:c r="Q159" s="23" t="str">
        <x:v>6 lignes de spawn</x:v>
      </x:c>
      <x:c r="R159" s="23" t="str">
        <x:v>Une fois que Crocrodil referme ses mâchoires sur sa cible, il ne lâche plus prise. Les pointes recourbées de ses crocs, semblables à des hameçons, rendent toute libération impossible une fois plantées.</x:v>
      </x:c>
      <x:c r="S159" s="23" t="str"/>
      <x:c r="T159" s="23" t="str">
        <x:v>https://pixelmonmod.com/wiki/Croconaw</x:v>
      </x:c>
    </x:row>
    <x:row r="160" ht="54" customHeight="1">
      <x:c r="A160" s="27" t="n">
        <x:v>160</x:v>
      </x:c>
      <x:c r="B160" s="23" t="str">
        <x:v>Aligatueur</x:v>
      </x:c>
      <x:c r="C160" s="23" t="str">
        <x:v>Feraligatr</x:v>
      </x:c>
      <x:c r="D160" s="23" t="str">
        <x:v>Eau</x:v>
      </x:c>
      <x:c r="E160" s="23" t="str"/>
      <x:c r="F160" s="23" t="str">
        <x:v>Ultra Rare</x:v>
      </x:c>
      <x:c r="G160" s="45" t="n">
        <x:v>75000</x:v>
      </x:c>
      <x:c r="H160" s="45" t="n">
        <x:f>IF(G160="","",ROUNDUP(G160*3,0))</x:f>
        <x:v>225000</x:v>
      </x:c>
      <x:c r="I160" s="41" t="n">
        <x:v>1</x:v>
      </x:c>
      <x:c r="J160" s="42" t="n">
        <x:v>85</x:v>
      </x:c>
      <x:c r="K160" s="42" t="n">
        <x:v>105</x:v>
      </x:c>
      <x:c r="L160" s="42" t="n">
        <x:v>100</x:v>
      </x:c>
      <x:c r="M160" s="42" t="n">
        <x:v>79</x:v>
      </x:c>
      <x:c r="N160" s="42" t="n">
        <x:v>83</x:v>
      </x:c>
      <x:c r="O160" s="42" t="n">
        <x:v>78</x:v>
      </x:c>
      <x:c r="P160" s="43" t="n">
        <x:f>IF(COUNT(J160:O160)=0,"",SUM(J160:O160))</x:f>
        <x:v>530</x:v>
      </x:c>
      <x:c r="Q160" s="23" t="str">
        <x:v>4 lignes de spawn</x:v>
      </x:c>
      <x:c r="R160" s="23" t="str">
        <x:v>Aligatueur intimide ses ennemis en ouvrant sa gigantesque mâchoire. En combat, il frappe le sol avec ses puissantes pattes pour charger à une vitesse incroyable.</x:v>
      </x:c>
      <x:c r="S160" s="23" t="str"/>
      <x:c r="T160" s="23" t="str">
        <x:v>https://pixelmonmod.com/wiki/Feraligatr</x:v>
      </x:c>
    </x:row>
    <x:row r="161" ht="54" customHeight="1">
      <x:c r="A161" s="27" t="n">
        <x:v>161</x:v>
      </x:c>
      <x:c r="B161" s="23" t="str">
        <x:v>Fouinette</x:v>
      </x:c>
      <x:c r="C161" s="23" t="str">
        <x:v>Sentret</x:v>
      </x:c>
      <x:c r="D161" s="23" t="str">
        <x:v>Normal</x:v>
      </x:c>
      <x:c r="E161" s="23" t="str"/>
      <x:c r="F161" s="23" t="str">
        <x:v>Common</x:v>
      </x:c>
      <x:c r="G161" s="45" t="n">
        <x:v>2000</x:v>
      </x:c>
      <x:c r="H161" s="45" t="n">
        <x:f>IF(G161="","",ROUNDUP(G161*3,0))</x:f>
        <x:v>6000</x:v>
      </x:c>
      <x:c r="I161" s="41" t="n">
        <x:v>1</x:v>
      </x:c>
      <x:c r="J161" s="42" t="n">
        <x:v>35</x:v>
      </x:c>
      <x:c r="K161" s="42" t="n">
        <x:v>46</x:v>
      </x:c>
      <x:c r="L161" s="42" t="n">
        <x:v>34</x:v>
      </x:c>
      <x:c r="M161" s="42" t="n">
        <x:v>35</x:v>
      </x:c>
      <x:c r="N161" s="42" t="n">
        <x:v>45</x:v>
      </x:c>
      <x:c r="O161" s="42" t="n">
        <x:v>20</x:v>
      </x:c>
      <x:c r="P161" s="43" t="n">
        <x:f>IF(COUNT(J161:O161)=0,"",SUM(J161:O161))</x:f>
        <x:v>215</x:v>
      </x:c>
      <x:c r="Q161" s="23" t="str">
        <x:v>4 lignes de spawn</x:v>
      </x:c>
      <x:c r="R161" s="23" t="str">
        <x:v>Lorsqu'il dort, Fouinette est toujours surveillé par un autre de son groupe. Le guetteur réveille les autres à la moindre alerte. S'il est séparé des siens, il devient incapable de dormir tant il a peur.</x:v>
      </x:c>
      <x:c r="S161" s="23" t="str"/>
      <x:c r="T161" s="23" t="str">
        <x:v>https://pixelmonmod.com/wiki/Sentret</x:v>
      </x:c>
    </x:row>
    <x:row r="162" ht="54" customHeight="1">
      <x:c r="A162" s="27" t="n">
        <x:v>162</x:v>
      </x:c>
      <x:c r="B162" s="23" t="str">
        <x:v>Fouinette</x:v>
      </x:c>
      <x:c r="C162" s="23" t="str">
        <x:v>Furret</x:v>
      </x:c>
      <x:c r="D162" s="23" t="str">
        <x:v>Normal</x:v>
      </x:c>
      <x:c r="E162" s="23" t="str"/>
      <x:c r="F162" s="23" t="str">
        <x:v>Rare</x:v>
      </x:c>
      <x:c r="G162" s="45" t="n">
        <x:v>12000</x:v>
      </x:c>
      <x:c r="H162" s="45" t="n">
        <x:f>IF(G162="","",ROUNDUP(G162*3,0))</x:f>
        <x:v>36000</x:v>
      </x:c>
      <x:c r="I162" s="41" t="n">
        <x:v>1</x:v>
      </x:c>
      <x:c r="J162" s="42" t="n">
        <x:v>85</x:v>
      </x:c>
      <x:c r="K162" s="42" t="n">
        <x:v>76</x:v>
      </x:c>
      <x:c r="L162" s="42" t="n">
        <x:v>64</x:v>
      </x:c>
      <x:c r="M162" s="42" t="n">
        <x:v>45</x:v>
      </x:c>
      <x:c r="N162" s="42" t="n">
        <x:v>55</x:v>
      </x:c>
      <x:c r="O162" s="42" t="n">
        <x:v>90</x:v>
      </x:c>
      <x:c r="P162" s="43" t="n">
        <x:f>IF(COUNT(J162:O162)=0,"",SUM(J162:O162))</x:f>
        <x:v>415</x:v>
      </x:c>
      <x:c r="Q162" s="23" t="str">
        <x:v>5 lignes de spawn</x:v>
      </x:c>
      <x:c r="R162" s="23" t="str">
        <x:v>Fouinette possède un corps très fin. Lorsqu'il est attaqué, il peut se faufiler dans les espaces étroits pour fuir. Malgré ses pattes courtes, il est vif et rapide.</x:v>
      </x:c>
      <x:c r="S162" s="23" t="str"/>
      <x:c r="T162" s="23" t="str">
        <x:v>https://pixelmonmod.com/wiki/Furret</x:v>
      </x:c>
    </x:row>
    <x:row r="163" ht="54" customHeight="1">
      <x:c r="A163" s="27" t="n">
        <x:v>163</x:v>
      </x:c>
      <x:c r="B163" s="23" t="str">
        <x:v>Hoothoot</x:v>
      </x:c>
      <x:c r="C163" s="23" t="str">
        <x:v>Hoothoot</x:v>
      </x:c>
      <x:c r="D163" s="23" t="str">
        <x:v>Normal</x:v>
      </x:c>
      <x:c r="E163" s="23" t="str">
        <x:v>Vol</x:v>
      </x:c>
      <x:c r="F163" s="23" t="str">
        <x:v>Uncommon</x:v>
      </x:c>
      <x:c r="G163" s="45" t="n">
        <x:v>5000</x:v>
      </x:c>
      <x:c r="H163" s="45" t="n">
        <x:f>IF(G163="","",ROUNDUP(G163*3,0))</x:f>
        <x:v>15000</x:v>
      </x:c>
      <x:c r="I163" s="41" t="n">
        <x:v>0.741</x:v>
      </x:c>
      <x:c r="J163" s="42" t="n">
        <x:v>60</x:v>
      </x:c>
      <x:c r="K163" s="42" t="n">
        <x:v>30</x:v>
      </x:c>
      <x:c r="L163" s="42" t="n">
        <x:v>30</x:v>
      </x:c>
      <x:c r="M163" s="42" t="n">
        <x:v>36</x:v>
      </x:c>
      <x:c r="N163" s="42" t="n">
        <x:v>56</x:v>
      </x:c>
      <x:c r="O163" s="42" t="n">
        <x:v>50</x:v>
      </x:c>
      <x:c r="P163" s="43" t="n">
        <x:f>IF(COUNT(J163:O163)=0,"",SUM(J163:O163))</x:f>
        <x:v>262</x:v>
      </x:c>
      <x:c r="Q163" s="23" t="str">
        <x:v>27 lignes de spawn</x:v>
      </x:c>
      <x:c r="R163" s="23" t="str">
        <x:v>Hoothoot possède un organe interne capable de percevoir la rotation terrestre. Grâce à lui, il hulule toujours à heure précise.</x:v>
      </x:c>
      <x:c r="S163" s="23" t="str"/>
      <x:c r="T163" s="23" t="str">
        <x:v>https://pixelmonmod.com/wiki/Hoothoot</x:v>
      </x:c>
    </x:row>
    <x:row r="164" ht="54" customHeight="1">
      <x:c r="A164" s="27" t="n">
        <x:v>164</x:v>
      </x:c>
      <x:c r="B164" s="23" t="str">
        <x:v>Noarfang</x:v>
      </x:c>
      <x:c r="C164" s="23" t="str">
        <x:v>Noctowl</x:v>
      </x:c>
      <x:c r="D164" s="23" t="str">
        <x:v>Normal</x:v>
      </x:c>
      <x:c r="E164" s="23" t="str">
        <x:v>Vol</x:v>
      </x:c>
      <x:c r="F164" s="23" t="str">
        <x:v>Ultra Rare</x:v>
      </x:c>
      <x:c r="G164" s="45" t="n">
        <x:v>75000</x:v>
      </x:c>
      <x:c r="H164" s="45" t="n">
        <x:f>IF(G164="","",ROUNDUP(G164*3,0))</x:f>
        <x:v>225000</x:v>
      </x:c>
      <x:c r="I164" s="41" t="n">
        <x:v>0.929</x:v>
      </x:c>
      <x:c r="J164" s="42" t="n">
        <x:v>100</x:v>
      </x:c>
      <x:c r="K164" s="42" t="n">
        <x:v>50</x:v>
      </x:c>
      <x:c r="L164" s="42" t="n">
        <x:v>50</x:v>
      </x:c>
      <x:c r="M164" s="42" t="n">
        <x:v>86</x:v>
      </x:c>
      <x:c r="N164" s="42" t="n">
        <x:v>96</x:v>
      </x:c>
      <x:c r="O164" s="42" t="n">
        <x:v>70</x:v>
      </x:c>
      <x:c r="P164" s="43" t="n">
        <x:f>IF(COUNT(J164:O164)=0,"",SUM(J164:O164))</x:f>
        <x:v>452</x:v>
      </x:c>
      <x:c r="Q164" s="23" t="str">
        <x:v>14 lignes de spawn</x:v>
      </x:c>
      <x:c r="R164" s="23" t="str">
        <x:v>Noarfang ne rate jamais sa proie dans l'obscurité. Il doit sa réussite à sa vision exceptionnelle en faible luminosité et à ses ailes souples et silencieuses.</x:v>
      </x:c>
      <x:c r="S164" s="23" t="str"/>
      <x:c r="T164" s="23" t="str">
        <x:v>https://pixelmonmod.com/wiki/Noctowl</x:v>
      </x:c>
    </x:row>
    <x:row r="165" ht="54" customHeight="1">
      <x:c r="A165" s="27" t="n">
        <x:v>165</x:v>
      </x:c>
      <x:c r="B165" s="23" t="str">
        <x:v>Coxy</x:v>
      </x:c>
      <x:c r="C165" s="23" t="str">
        <x:v>Ledyba</x:v>
      </x:c>
      <x:c r="D165" s="23" t="str">
        <x:v>Insecte</x:v>
      </x:c>
      <x:c r="E165" s="23" t="str">
        <x:v>Vol</x:v>
      </x:c>
      <x:c r="F165" s="23" t="str">
        <x:v>Uncommon</x:v>
      </x:c>
      <x:c r="G165" s="45" t="n">
        <x:v>5000</x:v>
      </x:c>
      <x:c r="H165" s="45" t="n">
        <x:f>IF(G165="","",ROUNDUP(G165*3,0))</x:f>
        <x:v>15000</x:v>
      </x:c>
      <x:c r="I165" s="41" t="n">
        <x:v>0.636</x:v>
      </x:c>
      <x:c r="J165" s="42" t="n">
        <x:v>40</x:v>
      </x:c>
      <x:c r="K165" s="42" t="n">
        <x:v>20</x:v>
      </x:c>
      <x:c r="L165" s="42" t="n">
        <x:v>30</x:v>
      </x:c>
      <x:c r="M165" s="42" t="n">
        <x:v>40</x:v>
      </x:c>
      <x:c r="N165" s="42" t="n">
        <x:v>80</x:v>
      </x:c>
      <x:c r="O165" s="42" t="n">
        <x:v>55</x:v>
      </x:c>
      <x:c r="P165" s="43" t="n">
        <x:f>IF(COUNT(J165:O165)=0,"",SUM(J165:O165))</x:f>
        <x:v>265</x:v>
      </x:c>
      <x:c r="Q165" s="23" t="str">
        <x:v>11 lignes de spawn</x:v>
      </x:c>
      <x:c r="R165" s="23" t="str">
        <x:v>Coxy sécrète un fluide aromatique à la jonction de ses pattes. Ce fluide lui sert à communiquer. Il transmet ses émotions en modifiant l'odeur de celui-ci.</x:v>
      </x:c>
      <x:c r="S165" s="23" t="str"/>
      <x:c r="T165" s="23" t="str">
        <x:v>https://pixelmonmod.com/wiki/Ledyba</x:v>
      </x:c>
    </x:row>
    <x:row r="166" ht="54" customHeight="1">
      <x:c r="A166" s="27" t="n">
        <x:v>166</x:v>
      </x:c>
      <x:c r="B166" s="23" t="str">
        <x:v>Coxyclaque</x:v>
      </x:c>
      <x:c r="C166" s="23" t="str">
        <x:v>Ledian</x:v>
      </x:c>
      <x:c r="D166" s="23" t="str">
        <x:v>Insecte</x:v>
      </x:c>
      <x:c r="E166" s="23" t="str">
        <x:v>Vol</x:v>
      </x:c>
      <x:c r="F166" s="23" t="str">
        <x:v>Very Rare / Ultra Rare</x:v>
      </x:c>
      <x:c r="G166" s="45" t="n">
        <x:v>75000</x:v>
      </x:c>
      <x:c r="H166" s="45" t="n">
        <x:f>IF(G166="","",ROUNDUP(G166*3,0))</x:f>
        <x:v>225000</x:v>
      </x:c>
      <x:c r="I166" s="41" t="n">
        <x:v>0.364</x:v>
      </x:c>
      <x:c r="J166" s="42" t="n">
        <x:v>55</x:v>
      </x:c>
      <x:c r="K166" s="42" t="n">
        <x:v>35</x:v>
      </x:c>
      <x:c r="L166" s="42" t="n">
        <x:v>50</x:v>
      </x:c>
      <x:c r="M166" s="42" t="n">
        <x:v>55</x:v>
      </x:c>
      <x:c r="N166" s="42" t="n">
        <x:v>110</x:v>
      </x:c>
      <x:c r="O166" s="42" t="n">
        <x:v>85</x:v>
      </x:c>
      <x:c r="P166" s="43" t="n">
        <x:f>IF(COUNT(J166:O166)=0,"",SUM(J166:O166))</x:f>
        <x:v>390</x:v>
      </x:c>
      <x:c r="Q166" s="23" t="str">
        <x:v>11 lignes de spawn</x:v>
      </x:c>
      <x:c r="R166" s="23" t="str">
        <x:v>On raconte que, dans les régions où l'air est pur et où le ciel est rempli d'étoiles, vivent d'innombrables Coxyclaque. Il y a une raison à cela : ce Pokémon utilise la lumière des étoiles comme source d'énergie.</x:v>
      </x:c>
      <x:c r="S166" s="23" t="str">
        <x:v>Égalité de fréquence; prix provisoire basé sur le palier le plus élevé. Very Rare aligné sur le palier Super Rare (provisoire).</x:v>
      </x:c>
      <x:c r="T166" s="23" t="str">
        <x:v>https://pixelmonmod.com/wiki/Ledian</x:v>
      </x:c>
    </x:row>
    <x:row r="167" ht="54" customHeight="1">
      <x:c r="A167" s="27" t="n">
        <x:v>167</x:v>
      </x:c>
      <x:c r="B167" s="23" t="str">
        <x:v>Migalos</x:v>
      </x:c>
      <x:c r="C167" s="23" t="str">
        <x:v>Spinarak</x:v>
      </x:c>
      <x:c r="D167" s="23" t="str">
        <x:v>Insecte</x:v>
      </x:c>
      <x:c r="E167" s="23" t="str">
        <x:v>Poison</x:v>
      </x:c>
      <x:c r="F167" s="23" t="str">
        <x:v>Common</x:v>
      </x:c>
      <x:c r="G167" s="45" t="n">
        <x:v>2000</x:v>
      </x:c>
      <x:c r="H167" s="45" t="n">
        <x:f>IF(G167="","",ROUNDUP(G167*3,0))</x:f>
        <x:v>6000</x:v>
      </x:c>
      <x:c r="I167" s="41" t="n">
        <x:v>1</x:v>
      </x:c>
      <x:c r="J167" s="42" t="n">
        <x:v>40</x:v>
      </x:c>
      <x:c r="K167" s="42" t="n">
        <x:v>60</x:v>
      </x:c>
      <x:c r="L167" s="42" t="n">
        <x:v>40</x:v>
      </x:c>
      <x:c r="M167" s="42" t="n">
        <x:v>40</x:v>
      </x:c>
      <x:c r="N167" s="42" t="n">
        <x:v>40</x:v>
      </x:c>
      <x:c r="O167" s="42" t="n">
        <x:v>30</x:v>
      </x:c>
      <x:c r="P167" s="43" t="n">
        <x:f>IF(COUNT(J167:O167)=0,"",SUM(J167:O167))</x:f>
        <x:v>250</x:v>
      </x:c>
      <x:c r="Q167" s="23" t="str">
        <x:v>3 lignes de spawn</x:v>
      </x:c>
      <x:c r="R167" s="23" t="str">
        <x:v>La toile tissée par Migalos peut être considérée comme son second système nerveux. On dit que ce Pokémon peut déterminer quel type de proie touche sa toile simplement grâce aux minuscules vibrations qu'il ressent à travers ses fils.</x:v>
      </x:c>
      <x:c r="S167" s="23" t="str"/>
      <x:c r="T167" s="23" t="str">
        <x:v>https://pixelmonmod.com/wiki/Spinarak</x:v>
      </x:c>
    </x:row>
    <x:row r="168" ht="54" customHeight="1">
      <x:c r="A168" s="27" t="n">
        <x:v>168</x:v>
      </x:c>
      <x:c r="B168" s="23" t="str">
        <x:v>Migalos</x:v>
      </x:c>
      <x:c r="C168" s="23" t="str">
        <x:v>Ariados</x:v>
      </x:c>
      <x:c r="D168" s="23" t="str">
        <x:v>Insecte</x:v>
      </x:c>
      <x:c r="E168" s="23" t="str">
        <x:v>Poison</x:v>
      </x:c>
      <x:c r="F168" s="23" t="str">
        <x:v>Ultra Rare</x:v>
      </x:c>
      <x:c r="G168" s="45" t="n">
        <x:v>75000</x:v>
      </x:c>
      <x:c r="H168" s="45" t="n">
        <x:f>IF(G168="","",ROUNDUP(G168*3,0))</x:f>
        <x:v>225000</x:v>
      </x:c>
      <x:c r="I168" s="41" t="n">
        <x:v>1</x:v>
      </x:c>
      <x:c r="J168" s="42" t="n">
        <x:v>70</x:v>
      </x:c>
      <x:c r="K168" s="42" t="n">
        <x:v>90</x:v>
      </x:c>
      <x:c r="L168" s="42" t="n">
        <x:v>70</x:v>
      </x:c>
      <x:c r="M168" s="42" t="n">
        <x:v>60</x:v>
      </x:c>
      <x:c r="N168" s="42" t="n">
        <x:v>70</x:v>
      </x:c>
      <x:c r="O168" s="42" t="n">
        <x:v>40</x:v>
      </x:c>
      <x:c r="P168" s="43" t="n">
        <x:f>IF(COUNT(J168:O168)=0,"",SUM(J168:O168))</x:f>
        <x:v>400</x:v>
      </x:c>
      <x:c r="Q168" s="23" t="str">
        <x:v>3 lignes de spawn</x:v>
      </x:c>
      <x:c r="R168" s="23" t="str">
        <x:v>Les pieds de Migalos sont munis de petites griffes en crochet qui lui permettent de grimper aux murs et aux plafonds. Ce Pokémon enserre sa proie avec une toile fine mais très résistante.</x:v>
      </x:c>
      <x:c r="S168" s="23" t="str"/>
      <x:c r="T168" s="23" t="str">
        <x:v>https://pixelmonmod.com/wiki/Ariados</x:v>
      </x:c>
    </x:row>
    <x:row r="169" ht="54" customHeight="1">
      <x:c r="A169" s="27" t="n">
        <x:v>169</x:v>
      </x:c>
      <x:c r="B169" s="23" t="str">
        <x:v>Nostenfer</x:v>
      </x:c>
      <x:c r="C169" s="23" t="str">
        <x:v>Crobat</x:v>
      </x:c>
      <x:c r="D169" s="23" t="str">
        <x:v>Poison</x:v>
      </x:c>
      <x:c r="E169" s="23" t="str">
        <x:v>Vol</x:v>
      </x:c>
      <x:c r="F169" s="23" t="str">
        <x:v>Ultra Rare</x:v>
      </x:c>
      <x:c r="G169" s="45" t="n">
        <x:v>75000</x:v>
      </x:c>
      <x:c r="H169" s="45" t="n">
        <x:f>IF(G169="","",ROUNDUP(G169*3,0))</x:f>
        <x:v>225000</x:v>
      </x:c>
      <x:c r="I169" s="41" t="n">
        <x:v>1</x:v>
      </x:c>
      <x:c r="J169" s="42" t="n">
        <x:v>85</x:v>
      </x:c>
      <x:c r="K169" s="42" t="n">
        <x:v>90</x:v>
      </x:c>
      <x:c r="L169" s="42" t="n">
        <x:v>80</x:v>
      </x:c>
      <x:c r="M169" s="42" t="n">
        <x:v>70</x:v>
      </x:c>
      <x:c r="N169" s="42" t="n">
        <x:v>80</x:v>
      </x:c>
      <x:c r="O169" s="42" t="n">
        <x:v>130</x:v>
      </x:c>
      <x:c r="P169" s="43" t="n">
        <x:f>IF(COUNT(J169:O169)=0,"",SUM(J169:O169))</x:f>
        <x:v>535</x:v>
      </x:c>
      <x:c r="Q169" s="23" t="str">
        <x:v>9 lignes de spawn</x:v>
      </x:c>
      <x:c r="R169" s="23" t="str">
        <x:v>Si ce Pokémon vole en battant uniquement une paire d'ailes, soit celles de ses pattes avant, soit celles de ses pattes arrière, c'est la preuve qu'il vole depuis longtemps. Il change d'ailes lorsqu'il est fatigué.</x:v>
      </x:c>
      <x:c r="S169" s="23" t="str"/>
      <x:c r="T169" s="23" t="str">
        <x:v>https://pixelmonmod.com/wiki/Crobat</x:v>
      </x:c>
    </x:row>
    <x:row r="170" ht="54" customHeight="1">
      <x:c r="A170" s="27" t="n">
        <x:v>170</x:v>
      </x:c>
      <x:c r="B170" s="23" t="str">
        <x:v>Loupio</x:v>
      </x:c>
      <x:c r="C170" s="23" t="str">
        <x:v>Chinchou</x:v>
      </x:c>
      <x:c r="D170" s="23" t="str">
        <x:v>Eau</x:v>
      </x:c>
      <x:c r="E170" s="23" t="str">
        <x:v>Électrik</x:v>
      </x:c>
      <x:c r="F170" s="23" t="str">
        <x:v>Uncommon</x:v>
      </x:c>
      <x:c r="G170" s="45" t="n">
        <x:v>5000</x:v>
      </x:c>
      <x:c r="H170" s="45" t="n">
        <x:f>IF(G170="","",ROUNDUP(G170*3,0))</x:f>
        <x:v>15000</x:v>
      </x:c>
      <x:c r="I170" s="41" t="n">
        <x:v>1</x:v>
      </x:c>
      <x:c r="J170" s="42" t="n">
        <x:v>75</x:v>
      </x:c>
      <x:c r="K170" s="42" t="n">
        <x:v>38</x:v>
      </x:c>
      <x:c r="L170" s="42" t="n">
        <x:v>38</x:v>
      </x:c>
      <x:c r="M170" s="42" t="n">
        <x:v>56</x:v>
      </x:c>
      <x:c r="N170" s="42" t="n">
        <x:v>56</x:v>
      </x:c>
      <x:c r="O170" s="42" t="n">
        <x:v>67</x:v>
      </x:c>
      <x:c r="P170" s="43" t="n">
        <x:f>IF(COUNT(J170:O170)=0,"",SUM(J170:O170))</x:f>
        <x:v>330</x:v>
      </x:c>
      <x:c r="Q170" s="23" t="str">
        <x:v>14 lignes de spawn</x:v>
      </x:c>
      <x:c r="R170" s="23" t="str">
        <x:v>Loupio libère des charges électriques positives et négatives depuis ses deux antennes pour faire perdre connaissance à ses proies. Ce Pokémon clignote pour échanger des signaux avec ses congénères.</x:v>
      </x:c>
      <x:c r="S170" s="23" t="str"/>
      <x:c r="T170" s="23" t="str">
        <x:v>https://pixelmonmod.com/wiki/Chinchou</x:v>
      </x:c>
    </x:row>
    <x:row r="171" ht="54" customHeight="1">
      <x:c r="A171" s="27" t="n">
        <x:v>171</x:v>
      </x:c>
      <x:c r="B171" s="23" t="str">
        <x:v>Lanturn</x:v>
      </x:c>
      <x:c r="C171" s="23" t="str">
        <x:v>Lanturn</x:v>
      </x:c>
      <x:c r="D171" s="23" t="str">
        <x:v>Eau</x:v>
      </x:c>
      <x:c r="E171" s="23" t="str">
        <x:v>Électrik</x:v>
      </x:c>
      <x:c r="F171" s="23" t="str">
        <x:v>Ultra Rare</x:v>
      </x:c>
      <x:c r="G171" s="45" t="n">
        <x:v>75000</x:v>
      </x:c>
      <x:c r="H171" s="45" t="n">
        <x:f>IF(G171="","",ROUNDUP(G171*3,0))</x:f>
        <x:v>225000</x:v>
      </x:c>
      <x:c r="I171" s="41" t="n">
        <x:v>0.643</x:v>
      </x:c>
      <x:c r="J171" s="42" t="n">
        <x:v>125</x:v>
      </x:c>
      <x:c r="K171" s="42" t="n">
        <x:v>58</x:v>
      </x:c>
      <x:c r="L171" s="42" t="n">
        <x:v>58</x:v>
      </x:c>
      <x:c r="M171" s="42" t="n">
        <x:v>76</x:v>
      </x:c>
      <x:c r="N171" s="42" t="n">
        <x:v>76</x:v>
      </x:c>
      <x:c r="O171" s="42" t="n">
        <x:v>67</x:v>
      </x:c>
      <x:c r="P171" s="43" t="n">
        <x:f>IF(COUNT(J171:O171)=0,"",SUM(J171:O171))</x:f>
        <x:v>460</x:v>
      </x:c>
      <x:c r="Q171" s="23" t="str">
        <x:v>14 lignes de spawn</x:v>
      </x:c>
      <x:c r="R171" s="23" t="str">
        <x:v>Lanturn est surnommé « l'étoile des fonds marins » grâce à son antenne lumineuse. Il produit de la lumière en provoquant une réaction chimique entre des bactéries et ses fluides corporels dans son antenne.</x:v>
      </x:c>
      <x:c r="S171" s="23" t="str"/>
      <x:c r="T171" s="23" t="str">
        <x:v>https://pixelmonmod.com/wiki/Lanturn</x:v>
      </x:c>
    </x:row>
    <x:row r="172" ht="54" customHeight="1">
      <x:c r="A172" s="27" t="n">
        <x:v>172</x:v>
      </x:c>
      <x:c r="B172" s="23" t="str">
        <x:v>Pichu</x:v>
      </x:c>
      <x:c r="C172" s="23" t="str">
        <x:v>Pichu</x:v>
      </x:c>
      <x:c r="D172" s="23" t="str">
        <x:v>Électrik</x:v>
      </x:c>
      <x:c r="E172" s="23" t="str"/>
      <x:c r="F172" s="23" t="str">
        <x:v>Rare</x:v>
      </x:c>
      <x:c r="G172" s="45" t="n">
        <x:v>12000</x:v>
      </x:c>
      <x:c r="H172" s="45" t="n">
        <x:f>IF(G172="","",ROUNDUP(G172*3,0))</x:f>
        <x:v>36000</x:v>
      </x:c>
      <x:c r="I172" s="41" t="n">
        <x:v>1</x:v>
      </x:c>
      <x:c r="J172" s="42" t="n">
        <x:v>20</x:v>
      </x:c>
      <x:c r="K172" s="42" t="n">
        <x:v>40</x:v>
      </x:c>
      <x:c r="L172" s="42" t="n">
        <x:v>15</x:v>
      </x:c>
      <x:c r="M172" s="42" t="n">
        <x:v>35</x:v>
      </x:c>
      <x:c r="N172" s="42" t="n">
        <x:v>35</x:v>
      </x:c>
      <x:c r="O172" s="42" t="n">
        <x:v>60</x:v>
      </x:c>
      <x:c r="P172" s="43" t="n">
        <x:f>IF(COUNT(J172:O172)=0,"",SUM(J172:O172))</x:f>
        <x:v>205</x:v>
      </x:c>
      <x:c r="Q172" s="23" t="str">
        <x:v>1 lignes de spawn</x:v>
      </x:c>
      <x:c r="R172" s="23" t="str">
        <x:v>Pichu se charge plus facilement en électricité lors des jours d'orage ou lorsque l'air est très sec. On peut entendre la crépitation de l'électricité statique émise par ce Pokémon.</x:v>
      </x:c>
      <x:c r="S172" s="23" t="str"/>
      <x:c r="T172" s="23" t="str">
        <x:v>https://pixelmonmod.com/wiki/Pichu</x:v>
      </x:c>
    </x:row>
    <x:row r="173" ht="54" customHeight="1">
      <x:c r="A173" s="27" t="n">
        <x:v>173</x:v>
      </x:c>
      <x:c r="B173" s="23" t="str">
        <x:v>Mélo</x:v>
      </x:c>
      <x:c r="C173" s="23" t="str">
        <x:v>Cleffa</x:v>
      </x:c>
      <x:c r="D173" s="23" t="str">
        <x:v>Fée</x:v>
      </x:c>
      <x:c r="E173" s="23" t="str"/>
      <x:c r="F173" s="23" t="str">
        <x:v>Ultra Rare</x:v>
      </x:c>
      <x:c r="G173" s="45" t="n">
        <x:v>75000</x:v>
      </x:c>
      <x:c r="H173" s="45" t="n">
        <x:f>IF(G173="","",ROUNDUP(G173*3,0))</x:f>
        <x:v>225000</x:v>
      </x:c>
      <x:c r="I173" s="41" t="n">
        <x:v>1</x:v>
      </x:c>
      <x:c r="J173" s="42" t="n">
        <x:v>50</x:v>
      </x:c>
      <x:c r="K173" s="42" t="n">
        <x:v>25</x:v>
      </x:c>
      <x:c r="L173" s="42" t="n">
        <x:v>28</x:v>
      </x:c>
      <x:c r="M173" s="42" t="n">
        <x:v>45</x:v>
      </x:c>
      <x:c r="N173" s="42" t="n">
        <x:v>55</x:v>
      </x:c>
      <x:c r="O173" s="42" t="n">
        <x:v>15</x:v>
      </x:c>
      <x:c r="P173" s="43" t="n">
        <x:f>IF(COUNT(J173:O173)=0,"",SUM(J173:O173))</x:f>
        <x:v>218</x:v>
      </x:c>
      <x:c r="Q173" s="23" t="str">
        <x:v>1 lignes de spawn</x:v>
      </x:c>
      <x:c r="R173" s="23" t="str">
        <x:v>Les nuits où les étoiles filantes sont nombreuses, on peut voir les Mélo danser en cercle. Ils dansent jusqu'au petit matin, puis étanchent leur soif avec la rosée.</x:v>
      </x:c>
      <x:c r="S173" s="23" t="str"/>
      <x:c r="T173" s="23" t="str">
        <x:v>https://pixelmonmod.com/wiki/Cleffa</x:v>
      </x:c>
    </x:row>
    <x:row r="174" ht="54" customHeight="1">
      <x:c r="A174" s="27" t="n">
        <x:v>174</x:v>
      </x:c>
      <x:c r="B174" s="23" t="str">
        <x:v>Toudoudou</x:v>
      </x:c>
      <x:c r="C174" s="23" t="str">
        <x:v>Igglybuff</x:v>
      </x:c>
      <x:c r="D174" s="23" t="str">
        <x:v>Normal</x:v>
      </x:c>
      <x:c r="E174" s="23" t="str">
        <x:v>Fée</x:v>
      </x:c>
      <x:c r="F174" s="23" t="str">
        <x:v>Non classé</x:v>
      </x:c>
      <x:c r="G174" s="45"/>
      <x:c r="H174" s="45" t="str">
        <x:f>IF(G174="","",ROUNDUP(G174*3,0))</x:f>
      </x:c>
      <x:c r="I174" s="41"/>
      <x:c r="J174" s="42" t="n">
        <x:v>90</x:v>
      </x:c>
      <x:c r="K174" s="42" t="n">
        <x:v>30</x:v>
      </x:c>
      <x:c r="L174" s="42" t="n">
        <x:v>15</x:v>
      </x:c>
      <x:c r="M174" s="42" t="n">
        <x:v>40</x:v>
      </x:c>
      <x:c r="N174" s="42" t="n">
        <x:v>20</x:v>
      </x:c>
      <x:c r="O174" s="42" t="n">
        <x:v>15</x:v>
      </x:c>
      <x:c r="P174" s="43" t="n">
        <x:f>IF(COUNT(J174:O174)=0,"",SUM(J174:O174))</x:f>
        <x:v>210</x:v>
      </x:c>
      <x:c r="Q174" s="23" t="str">
        <x:v>Aucune ligne classée</x:v>
      </x:c>
      <x:c r="R174" s="23" t="str">
        <x:v>Les cordes vocales de Toudoudou ne sont pas encore suffisamment développées. S'il chante trop, sa gorge lui ferait mal. Ce Pokémon gargarise de l'eau douce provenant d'un ruisseau limpide.</x:v>
      </x:c>
      <x:c r="S174" s="23" t="str">
        <x:v>Aucune rareté wiki exploitable; prix à fixer.</x:v>
      </x:c>
      <x:c r="T174" s="23" t="str">
        <x:v>https://pixelmonmod.com/wiki/Igglybuff</x:v>
      </x:c>
    </x:row>
    <x:row r="175" ht="54" customHeight="1">
      <x:c r="A175" s="27" t="n">
        <x:v>175</x:v>
      </x:c>
      <x:c r="B175" s="23" t="str">
        <x:v>Togepi</x:v>
      </x:c>
      <x:c r="C175" s="23" t="str">
        <x:v>Togepi</x:v>
      </x:c>
      <x:c r="D175" s="23" t="str">
        <x:v>Fée</x:v>
      </x:c>
      <x:c r="E175" s="23" t="str"/>
      <x:c r="F175" s="23" t="str">
        <x:v>Ultra Rare</x:v>
      </x:c>
      <x:c r="G175" s="45" t="n">
        <x:v>75000</x:v>
      </x:c>
      <x:c r="H175" s="45" t="n">
        <x:f>IF(G175="","",ROUNDUP(G175*3,0))</x:f>
        <x:v>225000</x:v>
      </x:c>
      <x:c r="I175" s="41" t="n">
        <x:v>1</x:v>
      </x:c>
      <x:c r="J175" s="42" t="n">
        <x:v>35</x:v>
      </x:c>
      <x:c r="K175" s="42" t="n">
        <x:v>20</x:v>
      </x:c>
      <x:c r="L175" s="42" t="n">
        <x:v>65</x:v>
      </x:c>
      <x:c r="M175" s="42" t="n">
        <x:v>40</x:v>
      </x:c>
      <x:c r="N175" s="42" t="n">
        <x:v>65</x:v>
      </x:c>
      <x:c r="O175" s="42" t="n">
        <x:v>20</x:v>
      </x:c>
      <x:c r="P175" s="43" t="n">
        <x:f>IF(COUNT(J175:O175)=0,"",SUM(J175:O175))</x:f>
        <x:v>245</x:v>
      </x:c>
      <x:c r="Q175" s="23" t="str">
        <x:v>1 lignes de spawn</x:v>
      </x:c>
      <x:c r="R175" s="23" t="str">
        <x:v>Pour son énergie, Togepi utilise les émotions positives de compassion et de plaisir dégagées par les gens et les Pokémon. Ce Pokémon stocke ensuite ces sentiments de bonheur dans sa coquille, puis les partage avec les autres.</x:v>
      </x:c>
      <x:c r="S175" s="23" t="str"/>
      <x:c r="T175" s="23" t="str">
        <x:v>https://pixelmonmod.com/wiki/Togepi</x:v>
      </x:c>
    </x:row>
    <x:row r="176" ht="54" customHeight="1">
      <x:c r="A176" s="27" t="n">
        <x:v>176</x:v>
      </x:c>
      <x:c r="B176" s="23" t="str">
        <x:v>Togetic</x:v>
      </x:c>
      <x:c r="C176" s="23" t="str">
        <x:v>Togetic</x:v>
      </x:c>
      <x:c r="D176" s="23" t="str">
        <x:v>Fée</x:v>
      </x:c>
      <x:c r="E176" s="23" t="str">
        <x:v>Vol</x:v>
      </x:c>
      <x:c r="F176" s="23" t="str">
        <x:v>Ultra Rare</x:v>
      </x:c>
      <x:c r="G176" s="45" t="n">
        <x:v>75000</x:v>
      </x:c>
      <x:c r="H176" s="45" t="n">
        <x:f>IF(G176="","",ROUNDUP(G176*3,0))</x:f>
        <x:v>225000</x:v>
      </x:c>
      <x:c r="I176" s="41" t="n">
        <x:v>0.667</x:v>
      </x:c>
      <x:c r="J176" s="42" t="n">
        <x:v>55</x:v>
      </x:c>
      <x:c r="K176" s="42" t="n">
        <x:v>40</x:v>
      </x:c>
      <x:c r="L176" s="42" t="n">
        <x:v>85</x:v>
      </x:c>
      <x:c r="M176" s="42" t="n">
        <x:v>80</x:v>
      </x:c>
      <x:c r="N176" s="42" t="n">
        <x:v>105</x:v>
      </x:c>
      <x:c r="O176" s="42" t="n">
        <x:v>40</x:v>
      </x:c>
      <x:c r="P176" s="43" t="n">
        <x:f>IF(COUNT(J176:O176)=0,"",SUM(J176:O176))</x:f>
        <x:v>405</x:v>
      </x:c>
      <x:c r="Q176" s="23" t="str">
        <x:v>3 lignes de spawn</x:v>
      </x:c>
      <x:c r="R176" s="23" t="str">
        <x:v>On dit que Togetic est un Pokémon qui apporte la bonne fortune. Lorsqu'il repère une personne au cœur pur, il apparaît et partage son bonheur avec elle.</x:v>
      </x:c>
      <x:c r="S176" s="23" t="str"/>
      <x:c r="T176" s="23" t="str">
        <x:v>https://pixelmonmod.com/wiki/Togetic</x:v>
      </x:c>
    </x:row>
    <x:row r="177" ht="54" customHeight="1">
      <x:c r="A177" s="27" t="n">
        <x:v>177</x:v>
      </x:c>
      <x:c r="B177" s="23" t="str">
        <x:v>Natu</x:v>
      </x:c>
      <x:c r="C177" s="23" t="str">
        <x:v>Natu</x:v>
      </x:c>
      <x:c r="D177" s="23" t="str">
        <x:v>Psy</x:v>
      </x:c>
      <x:c r="E177" s="23" t="str">
        <x:v>Vol</x:v>
      </x:c>
      <x:c r="F177" s="23" t="str">
        <x:v>Uncommon</x:v>
      </x:c>
      <x:c r="G177" s="45" t="n">
        <x:v>5000</x:v>
      </x:c>
      <x:c r="H177" s="45" t="n">
        <x:f>IF(G177="","",ROUNDUP(G177*3,0))</x:f>
        <x:v>15000</x:v>
      </x:c>
      <x:c r="I177" s="41" t="n">
        <x:v>1</x:v>
      </x:c>
      <x:c r="J177" s="42" t="n">
        <x:v>40</x:v>
      </x:c>
      <x:c r="K177" s="42" t="n">
        <x:v>50</x:v>
      </x:c>
      <x:c r="L177" s="42" t="n">
        <x:v>45</x:v>
      </x:c>
      <x:c r="M177" s="42" t="n">
        <x:v>70</x:v>
      </x:c>
      <x:c r="N177" s="42" t="n">
        <x:v>45</x:v>
      </x:c>
      <x:c r="O177" s="42" t="n">
        <x:v>70</x:v>
      </x:c>
      <x:c r="P177" s="43" t="n">
        <x:f>IF(COUNT(J177:O177)=0,"",SUM(J177:O177))</x:f>
        <x:v>320</x:v>
      </x:c>
      <x:c r="Q177" s="23" t="str">
        <x:v>4 lignes de spawn</x:v>
      </x:c>
      <x:c r="R177" s="23" t="str">
        <x:v>Natu ne peut pas voler car ses ailes ne sont pas encore entièrement développées. Si vos yeux croisent ceux de ce Pokémon, il vous fixera intensément. Mais au moindre mouvement, il bondira pour s'échapper.</x:v>
      </x:c>
      <x:c r="S177" s="23" t="str"/>
      <x:c r="T177" s="23" t="str">
        <x:v>https://pixelmonmod.com/wiki/Natu</x:v>
      </x:c>
    </x:row>
    <x:row r="178" ht="54" customHeight="1">
      <x:c r="A178" s="27" t="n">
        <x:v>178</x:v>
      </x:c>
      <x:c r="B178" s="23" t="str">
        <x:v>Xatu</x:v>
      </x:c>
      <x:c r="C178" s="23" t="str">
        <x:v>Xatu</x:v>
      </x:c>
      <x:c r="D178" s="23" t="str">
        <x:v>Psy</x:v>
      </x:c>
      <x:c r="E178" s="23" t="str">
        <x:v>Vol</x:v>
      </x:c>
      <x:c r="F178" s="23" t="str">
        <x:v>Ultra Rare</x:v>
      </x:c>
      <x:c r="G178" s="45" t="n">
        <x:v>75000</x:v>
      </x:c>
      <x:c r="H178" s="45" t="n">
        <x:f>IF(G178="","",ROUNDUP(G178*3,0))</x:f>
        <x:v>225000</x:v>
      </x:c>
      <x:c r="I178" s="41" t="n">
        <x:v>0.667</x:v>
      </x:c>
      <x:c r="J178" s="42" t="n">
        <x:v>65</x:v>
      </x:c>
      <x:c r="K178" s="42" t="n">
        <x:v>75</x:v>
      </x:c>
      <x:c r="L178" s="42" t="n">
        <x:v>70</x:v>
      </x:c>
      <x:c r="M178" s="42" t="n">
        <x:v>95</x:v>
      </x:c>
      <x:c r="N178" s="42" t="n">
        <x:v>70</x:v>
      </x:c>
      <x:c r="O178" s="42" t="n">
        <x:v>95</x:v>
      </x:c>
      <x:c r="P178" s="43" t="n">
        <x:f>IF(COUNT(J178:O178)=0,"",SUM(J178:O178))</x:f>
        <x:v>470</x:v>
      </x:c>
      <x:c r="Q178" s="23" t="str">
        <x:v>3 lignes de spawn</x:v>
      </x:c>
      <x:c r="R178" s="23" t="str">
        <x:v>Xatu reste immobile au même endroit toute la journée. On pense qu'il fait cela par crainte des terribles choses qu'il a vues dans le futur.</x:v>
      </x:c>
      <x:c r="S178" s="23" t="str"/>
      <x:c r="T178" s="23" t="str">
        <x:v>https://pixelmonmod.com/wiki/Xatu</x:v>
      </x:c>
    </x:row>
    <x:row r="179" ht="54" customHeight="1">
      <x:c r="A179" s="27" t="n">
        <x:v>179</x:v>
      </x:c>
      <x:c r="B179" s="23" t="str">
        <x:v>Wattouat</x:v>
      </x:c>
      <x:c r="C179" s="23" t="str">
        <x:v>Mareep</x:v>
      </x:c>
      <x:c r="D179" s="23" t="str">
        <x:v>Électrik</x:v>
      </x:c>
      <x:c r="E179" s="23" t="str"/>
      <x:c r="F179" s="23" t="str">
        <x:v>Common</x:v>
      </x:c>
      <x:c r="G179" s="45" t="n">
        <x:v>2000</x:v>
      </x:c>
      <x:c r="H179" s="45" t="n">
        <x:f>IF(G179="","",ROUNDUP(G179*3,0))</x:f>
        <x:v>6000</x:v>
      </x:c>
      <x:c r="I179" s="41" t="n">
        <x:v>1</x:v>
      </x:c>
      <x:c r="J179" s="42" t="n">
        <x:v>55</x:v>
      </x:c>
      <x:c r="K179" s="42" t="n">
        <x:v>40</x:v>
      </x:c>
      <x:c r="L179" s="42" t="n">
        <x:v>40</x:v>
      </x:c>
      <x:c r="M179" s="42" t="n">
        <x:v>65</x:v>
      </x:c>
      <x:c r="N179" s="42" t="n">
        <x:v>45</x:v>
      </x:c>
      <x:c r="O179" s="42" t="n">
        <x:v>35</x:v>
      </x:c>
      <x:c r="P179" s="43" t="n">
        <x:f>IF(COUNT(J179:O179)=0,"",SUM(J179:O179))</x:f>
        <x:v>280</x:v>
      </x:c>
      <x:c r="Q179" s="23" t="str">
        <x:v>2 lignes de spawn</x:v>
      </x:c>
      <x:c r="R179" s="23" t="str">
        <x:v>La laine duveteuse de Wattouat s'électrise lorsqu'elle frotte. Plus l'électricité statique s'accumule, plus l'ampoule au bout de sa queue brille.</x:v>
      </x:c>
      <x:c r="S179" s="23" t="str"/>
      <x:c r="T179" s="23" t="str">
        <x:v>https://pixelmonmod.com/wiki/Mareep</x:v>
      </x:c>
    </x:row>
    <x:row r="180" ht="54" customHeight="1">
      <x:c r="A180" s="27" t="n">
        <x:v>180</x:v>
      </x:c>
      <x:c r="B180" s="23" t="str">
        <x:v>Lainergie</x:v>
      </x:c>
      <x:c r="C180" s="23" t="str">
        <x:v>Flaaffy</x:v>
      </x:c>
      <x:c r="D180" s="23" t="str">
        <x:v>Électrik</x:v>
      </x:c>
      <x:c r="E180" s="23" t="str"/>
      <x:c r="F180" s="23" t="str">
        <x:v>Rare</x:v>
      </x:c>
      <x:c r="G180" s="45" t="n">
        <x:v>12000</x:v>
      </x:c>
      <x:c r="H180" s="45" t="n">
        <x:f>IF(G180="","",ROUNDUP(G180*3,0))</x:f>
        <x:v>36000</x:v>
      </x:c>
      <x:c r="I180" s="41" t="n">
        <x:v>1</x:v>
      </x:c>
      <x:c r="J180" s="42" t="n">
        <x:v>70</x:v>
      </x:c>
      <x:c r="K180" s="42" t="n">
        <x:v>55</x:v>
      </x:c>
      <x:c r="L180" s="42" t="n">
        <x:v>55</x:v>
      </x:c>
      <x:c r="M180" s="42" t="n">
        <x:v>80</x:v>
      </x:c>
      <x:c r="N180" s="42" t="n">
        <x:v>60</x:v>
      </x:c>
      <x:c r="O180" s="42" t="n">
        <x:v>45</x:v>
      </x:c>
      <x:c r="P180" s="43" t="n">
        <x:f>IF(COUNT(J180:O180)=0,"",SUM(J180:O180))</x:f>
        <x:v>365</x:v>
      </x:c>
      <x:c r="Q180" s="23" t="str">
        <x:v>2 lignes de spawn</x:v>
      </x:c>
      <x:c r="R180" s="23" t="str">
        <x:v>La laine de Lainergie change de qualité afin de générer beaucoup d'électricité statique avec peu de laine. Les parties nues de sa peau sont isolées contre l'électricité.</x:v>
      </x:c>
      <x:c r="S180" s="23" t="str"/>
      <x:c r="T180" s="23" t="str">
        <x:v>https://pixelmonmod.com/wiki/Flaaffy</x:v>
      </x:c>
    </x:row>
    <x:row r="181" ht="54" customHeight="1">
      <x:c r="A181" s="27" t="n">
        <x:v>181</x:v>
      </x:c>
      <x:c r="B181" s="23" t="str">
        <x:v>Pharamp</x:v>
      </x:c>
      <x:c r="C181" s="23" t="str">
        <x:v>Ampharos</x:v>
      </x:c>
      <x:c r="D181" s="23" t="str">
        <x:v>Électrik</x:v>
      </x:c>
      <x:c r="E181" s="23" t="str"/>
      <x:c r="F181" s="23" t="str">
        <x:v>Ultra Rare</x:v>
      </x:c>
      <x:c r="G181" s="45" t="n">
        <x:v>75000</x:v>
      </x:c>
      <x:c r="H181" s="45" t="n">
        <x:f>IF(G181="","",ROUNDUP(G181*3,0))</x:f>
        <x:v>225000</x:v>
      </x:c>
      <x:c r="I181" s="41" t="n">
        <x:v>0.8</x:v>
      </x:c>
      <x:c r="J181" s="42" t="n">
        <x:v>90</x:v>
      </x:c>
      <x:c r="K181" s="42" t="n">
        <x:v>75</x:v>
      </x:c>
      <x:c r="L181" s="42" t="n">
        <x:v>85</x:v>
      </x:c>
      <x:c r="M181" s="42" t="n">
        <x:v>115</x:v>
      </x:c>
      <x:c r="N181" s="42" t="n">
        <x:v>90</x:v>
      </x:c>
      <x:c r="O181" s="42" t="n">
        <x:v>55</x:v>
      </x:c>
      <x:c r="P181" s="43" t="n">
        <x:f>IF(COUNT(J181:O181)=0,"",SUM(J181:O181))</x:f>
        <x:v>510</x:v>
      </x:c>
      <x:c r="Q181" s="23" t="str">
        <x:v>5 lignes de spawn</x:v>
      </x:c>
      <x:c r="R181" s="23" t="str">
        <x:v>Pharamp émet tant de lumière qu'on peut la voir depuis l'espace. Autrefois, on utilisait cette lumière pour envoyer des signaux à de grandes distances.</x:v>
      </x:c>
      <x:c r="S181" s="23" t="str"/>
      <x:c r="T181" s="23" t="str">
        <x:v>https://pixelmonmod.com/wiki/Ampharos</x:v>
      </x:c>
    </x:row>
    <x:row r="182" ht="54" customHeight="1">
      <x:c r="A182" s="27" t="n">
        <x:v>182</x:v>
      </x:c>
      <x:c r="B182" s="23" t="str">
        <x:v>Joliflor</x:v>
      </x:c>
      <x:c r="C182" s="23" t="str">
        <x:v>Bellossom</x:v>
      </x:c>
      <x:c r="D182" s="23" t="str">
        <x:v>Plante</x:v>
      </x:c>
      <x:c r="E182" s="23" t="str"/>
      <x:c r="F182" s="23" t="str">
        <x:v>Ultra Rare</x:v>
      </x:c>
      <x:c r="G182" s="45" t="n">
        <x:v>75000</x:v>
      </x:c>
      <x:c r="H182" s="45" t="n">
        <x:f>IF(G182="","",ROUNDUP(G182*3,0))</x:f>
        <x:v>225000</x:v>
      </x:c>
      <x:c r="I182" s="41" t="n">
        <x:v>0.8</x:v>
      </x:c>
      <x:c r="J182" s="42" t="n">
        <x:v>75</x:v>
      </x:c>
      <x:c r="K182" s="42" t="n">
        <x:v>80</x:v>
      </x:c>
      <x:c r="L182" s="42" t="n">
        <x:v>95</x:v>
      </x:c>
      <x:c r="M182" s="42" t="n">
        <x:v>90</x:v>
      </x:c>
      <x:c r="N182" s="42" t="n">
        <x:v>100</x:v>
      </x:c>
      <x:c r="O182" s="42" t="n">
        <x:v>50</x:v>
      </x:c>
      <x:c r="P182" s="43" t="n">
        <x:f>IF(COUNT(J182:O182)=0,"",SUM(J182:O182))</x:f>
        <x:v>490</x:v>
      </x:c>
      <x:c r="Q182" s="23" t="str">
        <x:v>5 lignes de spawn</x:v>
      </x:c>
      <x:c r="R182" s="23" t="str">
        <x:v>Lorsque Joliflor reçoit beaucoup de soleil, les feuilles autour de son corps se mettent à tournoyer. La danse de ce Pokémon est célèbre dans les contrées du sud.</x:v>
      </x:c>
      <x:c r="S182" s="23" t="str"/>
      <x:c r="T182" s="23" t="str">
        <x:v>https://pixelmonmod.com/wiki/Bellossom</x:v>
      </x:c>
    </x:row>
    <x:row r="183" ht="54" customHeight="1">
      <x:c r="A183" s="27" t="n">
        <x:v>183</x:v>
      </x:c>
      <x:c r="B183" s="23" t="str">
        <x:v>Marill</x:v>
      </x:c>
      <x:c r="C183" s="23" t="str">
        <x:v>Marill</x:v>
      </x:c>
      <x:c r="D183" s="23" t="str">
        <x:v>Eau</x:v>
      </x:c>
      <x:c r="E183" s="23" t="str">
        <x:v>Fée</x:v>
      </x:c>
      <x:c r="F183" s="23" t="str">
        <x:v>Uncommon</x:v>
      </x:c>
      <x:c r="G183" s="45" t="n">
        <x:v>5000</x:v>
      </x:c>
      <x:c r="H183" s="45" t="n">
        <x:f>IF(G183="","",ROUNDUP(G183*3,0))</x:f>
        <x:v>15000</x:v>
      </x:c>
      <x:c r="I183" s="41" t="n">
        <x:v>0.75</x:v>
      </x:c>
      <x:c r="J183" s="42" t="n">
        <x:v>70</x:v>
      </x:c>
      <x:c r="K183" s="42" t="n">
        <x:v>20</x:v>
      </x:c>
      <x:c r="L183" s="42" t="n">
        <x:v>50</x:v>
      </x:c>
      <x:c r="M183" s="42" t="n">
        <x:v>20</x:v>
      </x:c>
      <x:c r="N183" s="42" t="n">
        <x:v>50</x:v>
      </x:c>
      <x:c r="O183" s="42" t="n">
        <x:v>40</x:v>
      </x:c>
      <x:c r="P183" s="43" t="n">
        <x:f>IF(COUNT(J183:O183)=0,"",SUM(J183:O183))</x:f>
        <x:v>250</x:v>
      </x:c>
      <x:c r="Q183" s="23" t="str">
        <x:v>4 lignes de spawn</x:v>
      </x:c>
      <x:c r="R183" s="23" t="str">
        <x:v>La queue de Marill, remplie d'huile, fonctionne comme une bouée de sauvetage. Si vous voyez seulement sa queue dépasser de l'eau, cela indique que ce Pokémon plonge pour se nourrir de plantes aquatiques.</x:v>
      </x:c>
      <x:c r="S183" s="23" t="str"/>
      <x:c r="T183" s="23" t="str">
        <x:v>https://pixelmonmod.com/wiki/Marill</x:v>
      </x:c>
    </x:row>
    <x:row r="184" ht="54" customHeight="1">
      <x:c r="A184" s="27" t="n">
        <x:v>184</x:v>
      </x:c>
      <x:c r="B184" s="23" t="str">
        <x:v>Azumarill</x:v>
      </x:c>
      <x:c r="C184" s="23" t="str">
        <x:v>Azumarill</x:v>
      </x:c>
      <x:c r="D184" s="23" t="str">
        <x:v>Eau</x:v>
      </x:c>
      <x:c r="E184" s="23" t="str">
        <x:v>Fée</x:v>
      </x:c>
      <x:c r="F184" s="23" t="str">
        <x:v>Ultra Rare</x:v>
      </x:c>
      <x:c r="G184" s="45" t="n">
        <x:v>75000</x:v>
      </x:c>
      <x:c r="H184" s="45" t="n">
        <x:f>IF(G184="","",ROUNDUP(G184*3,0))</x:f>
        <x:v>225000</x:v>
      </x:c>
      <x:c r="I184" s="41" t="n">
        <x:v>1</x:v>
      </x:c>
      <x:c r="J184" s="42" t="n">
        <x:v>100</x:v>
      </x:c>
      <x:c r="K184" s="42" t="n">
        <x:v>50</x:v>
      </x:c>
      <x:c r="L184" s="42" t="n">
        <x:v>80</x:v>
      </x:c>
      <x:c r="M184" s="42" t="n">
        <x:v>60</x:v>
      </x:c>
      <x:c r="N184" s="42" t="n">
        <x:v>80</x:v>
      </x:c>
      <x:c r="O184" s="42" t="n">
        <x:v>50</x:v>
      </x:c>
      <x:c r="P184" s="43" t="n">
        <x:f>IF(COUNT(J184:O184)=0,"",SUM(J184:O184))</x:f>
        <x:v>420</x:v>
      </x:c>
      <x:c r="Q184" s="23" t="str">
        <x:v>4 lignes de spawn</x:v>
      </x:c>
      <x:c r="R184" s="23" t="str">
        <x:v>Les longues oreilles d'Azumarill sont des capteurs indispensables. En concentrant son ouïe, il peut identifier quel type de proie se trouve autour de lui, même dans les rivières tumultueuses.</x:v>
      </x:c>
      <x:c r="S184" s="23" t="str"/>
      <x:c r="T184" s="23" t="str">
        <x:v>https://pixelmonmod.com/wiki/Azumarill</x:v>
      </x:c>
    </x:row>
    <x:row r="185" ht="54" customHeight="1">
      <x:c r="A185" s="27" t="n">
        <x:v>185</x:v>
      </x:c>
      <x:c r="B185" s="23" t="str">
        <x:v>Simularbre</x:v>
      </x:c>
      <x:c r="C185" s="23" t="str">
        <x:v>Sudowoodo</x:v>
      </x:c>
      <x:c r="D185" s="23" t="str">
        <x:v>Roche</x:v>
      </x:c>
      <x:c r="E185" s="23" t="str"/>
      <x:c r="F185" s="23" t="str">
        <x:v>Uncommon / Rare</x:v>
      </x:c>
      <x:c r="G185" s="45" t="n">
        <x:v>12000</x:v>
      </x:c>
      <x:c r="H185" s="45" t="n">
        <x:f>IF(G185="","",ROUNDUP(G185*3,0))</x:f>
        <x:v>36000</x:v>
      </x:c>
      <x:c r="I185" s="41" t="n">
        <x:v>0.5</x:v>
      </x:c>
      <x:c r="J185" s="42" t="n">
        <x:v>70</x:v>
      </x:c>
      <x:c r="K185" s="42" t="n">
        <x:v>100</x:v>
      </x:c>
      <x:c r="L185" s="42" t="n">
        <x:v>115</x:v>
      </x:c>
      <x:c r="M185" s="42" t="n">
        <x:v>30</x:v>
      </x:c>
      <x:c r="N185" s="42" t="n">
        <x:v>65</x:v>
      </x:c>
      <x:c r="O185" s="42" t="n">
        <x:v>30</x:v>
      </x:c>
      <x:c r="P185" s="43" t="n">
        <x:f>IF(COUNT(J185:O185)=0,"",SUM(J185:O185))</x:f>
        <x:v>410</x:v>
      </x:c>
      <x:c r="Q185" s="23" t="str">
        <x:v>2 lignes de spawn</x:v>
      </x:c>
      <x:c r="R185" s="23" t="str">
        <x:v>Simularbre se camoufle en arbre pour éviter d'être attaqué. Toutefois, comme ses mains restent vertes toute l'année, il est facilement démasqué en hiver.</x:v>
      </x:c>
      <x:c r="S185" s="23" t="str">
        <x:v>Égalité de fréquence; prix provisoire basé sur le palier le plus élevé.</x:v>
      </x:c>
      <x:c r="T185" s="23" t="str">
        <x:v>https://pixelmonmod.com/wiki/Sudowoodo</x:v>
      </x:c>
    </x:row>
    <x:row r="186" ht="54" customHeight="1">
      <x:c r="A186" s="27" t="n">
        <x:v>186</x:v>
      </x:c>
      <x:c r="B186" s="23" t="str">
        <x:v>Tarpaud</x:v>
      </x:c>
      <x:c r="C186" s="23" t="str">
        <x:v>Politoed</x:v>
      </x:c>
      <x:c r="D186" s="23" t="str">
        <x:v>Eau</x:v>
      </x:c>
      <x:c r="E186" s="23" t="str"/>
      <x:c r="F186" s="23" t="str">
        <x:v>Ultra Rare</x:v>
      </x:c>
      <x:c r="G186" s="45" t="n">
        <x:v>75000</x:v>
      </x:c>
      <x:c r="H186" s="45" t="n">
        <x:f>IF(G186="","",ROUNDUP(G186*3,0))</x:f>
        <x:v>225000</x:v>
      </x:c>
      <x:c r="I186" s="41" t="n">
        <x:v>1</x:v>
      </x:c>
      <x:c r="J186" s="42" t="n">
        <x:v>90</x:v>
      </x:c>
      <x:c r="K186" s="42" t="n">
        <x:v>75</x:v>
      </x:c>
      <x:c r="L186" s="42" t="n">
        <x:v>75</x:v>
      </x:c>
      <x:c r="M186" s="42" t="n">
        <x:v>90</x:v>
      </x:c>
      <x:c r="N186" s="42" t="n">
        <x:v>100</x:v>
      </x:c>
      <x:c r="O186" s="42" t="n">
        <x:v>70</x:v>
      </x:c>
      <x:c r="P186" s="43" t="n">
        <x:f>IF(COUNT(J186:O186)=0,"",SUM(J186:O186))</x:f>
        <x:v>500</x:v>
      </x:c>
      <x:c r="Q186" s="23" t="str">
        <x:v>1 lignes de spawn</x:v>
      </x:c>
      <x:c r="R186" s="23" t="str">
        <x:v>La mèche enroulée sur la tête de Tarpaud prouve son statut de roi. On dit que plus la mèche est longue et enroulée, plus ce Pokémon gagne le respect de ses pairs.</x:v>
      </x:c>
      <x:c r="S186" s="23" t="str"/>
      <x:c r="T186" s="23" t="str">
        <x:v>https://pixelmonmod.com/wiki/Politoed</x:v>
      </x:c>
    </x:row>
    <x:row r="187" ht="54" customHeight="1">
      <x:c r="A187" s="27" t="n">
        <x:v>187</x:v>
      </x:c>
      <x:c r="B187" s="23" t="str">
        <x:v>Granivol</x:v>
      </x:c>
      <x:c r="C187" s="23" t="str">
        <x:v>Hoppip</x:v>
      </x:c>
      <x:c r="D187" s="23" t="str">
        <x:v>Plante</x:v>
      </x:c>
      <x:c r="E187" s="23" t="str">
        <x:v>Vol</x:v>
      </x:c>
      <x:c r="F187" s="23" t="str">
        <x:v>Common</x:v>
      </x:c>
      <x:c r="G187" s="45" t="n">
        <x:v>2000</x:v>
      </x:c>
      <x:c r="H187" s="45" t="n">
        <x:f>IF(G187="","",ROUNDUP(G187*3,0))</x:f>
        <x:v>6000</x:v>
      </x:c>
      <x:c r="I187" s="41" t="n">
        <x:v>1</x:v>
      </x:c>
      <x:c r="J187" s="42" t="n">
        <x:v>35</x:v>
      </x:c>
      <x:c r="K187" s="42" t="n">
        <x:v>35</x:v>
      </x:c>
      <x:c r="L187" s="42" t="n">
        <x:v>40</x:v>
      </x:c>
      <x:c r="M187" s="42" t="n">
        <x:v>35</x:v>
      </x:c>
      <x:c r="N187" s="42" t="n">
        <x:v>55</x:v>
      </x:c>
      <x:c r="O187" s="42" t="n">
        <x:v>50</x:v>
      </x:c>
      <x:c r="P187" s="43" t="n">
        <x:f>IF(COUNT(J187:O187)=0,"",SUM(J187:O187))</x:f>
        <x:v>250</x:v>
      </x:c>
      <x:c r="Q187" s="23" t="str">
        <x:v>2 lignes de spawn</x:v>
      </x:c>
      <x:c r="R187" s="23" t="str">
        <x:v>Il dérive au gré du vent. S'il sent venir une bourrasque, il s'agrippe à d'autres Granivol en entrelaçant ses feuilles pour éviter d'être emporté.</x:v>
      </x:c>
      <x:c r="S187" s="23" t="str"/>
      <x:c r="T187" s="23" t="str">
        <x:v>https://pixelmonmod.com/wiki/Hoppip</x:v>
      </x:c>
    </x:row>
    <x:row r="188" ht="54" customHeight="1">
      <x:c r="A188" s="27" t="n">
        <x:v>188</x:v>
      </x:c>
      <x:c r="B188" s="23" t="str">
        <x:v>Floravol</x:v>
      </x:c>
      <x:c r="C188" s="23" t="str">
        <x:v>Skiploom</x:v>
      </x:c>
      <x:c r="D188" s="23" t="str">
        <x:v>Plante</x:v>
      </x:c>
      <x:c r="E188" s="23" t="str">
        <x:v>Vol</x:v>
      </x:c>
      <x:c r="F188" s="23" t="str">
        <x:v>Rare</x:v>
      </x:c>
      <x:c r="G188" s="45" t="n">
        <x:v>12000</x:v>
      </x:c>
      <x:c r="H188" s="45" t="n">
        <x:f>IF(G188="","",ROUNDUP(G188*3,0))</x:f>
        <x:v>36000</x:v>
      </x:c>
      <x:c r="I188" s="41" t="n">
        <x:v>1</x:v>
      </x:c>
      <x:c r="J188" s="42" t="n">
        <x:v>55</x:v>
      </x:c>
      <x:c r="K188" s="42" t="n">
        <x:v>45</x:v>
      </x:c>
      <x:c r="L188" s="42" t="n">
        <x:v>50</x:v>
      </x:c>
      <x:c r="M188" s="42" t="n">
        <x:v>45</x:v>
      </x:c>
      <x:c r="N188" s="42" t="n">
        <x:v>65</x:v>
      </x:c>
      <x:c r="O188" s="42" t="n">
        <x:v>80</x:v>
      </x:c>
      <x:c r="P188" s="43" t="n">
        <x:f>IF(COUNT(J188:O188)=0,"",SUM(J188:O188))</x:f>
        <x:v>340</x:v>
      </x:c>
      <x:c r="Q188" s="23" t="str">
        <x:v>2 lignes de spawn</x:v>
      </x:c>
      <x:c r="R188" s="23" t="str">
        <x:v>La fleur de Floravol éclot lorsque la température dépasse 18 °C. L'ouverture varie selon la chaleur, si bien qu'on utilise parfois ce Pokémon comme thermomètre.</x:v>
      </x:c>
      <x:c r="S188" s="23" t="str"/>
      <x:c r="T188" s="23" t="str">
        <x:v>https://pixelmonmod.com/wiki/Skiploom</x:v>
      </x:c>
    </x:row>
    <x:row r="189" ht="54" customHeight="1">
      <x:c r="A189" s="27" t="n">
        <x:v>189</x:v>
      </x:c>
      <x:c r="B189" s="23" t="str">
        <x:v>Cotovol</x:v>
      </x:c>
      <x:c r="C189" s="23" t="str">
        <x:v>Jumpluff</x:v>
      </x:c>
      <x:c r="D189" s="23" t="str">
        <x:v>Plante</x:v>
      </x:c>
      <x:c r="E189" s="23" t="str">
        <x:v>Vol</x:v>
      </x:c>
      <x:c r="F189" s="23" t="str">
        <x:v>Ultra Rare</x:v>
      </x:c>
      <x:c r="G189" s="45" t="n">
        <x:v>75000</x:v>
      </x:c>
      <x:c r="H189" s="45" t="n">
        <x:f>IF(G189="","",ROUNDUP(G189*3,0))</x:f>
        <x:v>225000</x:v>
      </x:c>
      <x:c r="I189" s="41" t="n">
        <x:v>1</x:v>
      </x:c>
      <x:c r="J189" s="42" t="n">
        <x:v>75</x:v>
      </x:c>
      <x:c r="K189" s="42" t="n">
        <x:v>55</x:v>
      </x:c>
      <x:c r="L189" s="42" t="n">
        <x:v>70</x:v>
      </x:c>
      <x:c r="M189" s="42" t="n">
        <x:v>55</x:v>
      </x:c>
      <x:c r="N189" s="42" t="n">
        <x:v>95</x:v>
      </x:c>
      <x:c r="O189" s="42" t="n">
        <x:v>110</x:v>
      </x:c>
      <x:c r="P189" s="43" t="n">
        <x:f>IF(COUNT(J189:O189)=0,"",SUM(J189:O189))</x:f>
        <x:v>460</x:v>
      </x:c>
      <x:c r="Q189" s="23" t="str">
        <x:v>2 lignes de spawn</x:v>
      </x:c>
      <x:c r="R189" s="23" t="str">
        <x:v>Cotovol chevauche les vents chauds du sud pour traverser la mer et atteindre des contrées lointaines. Il redescend lorsqu'il rencontre une zone d'air froid.</x:v>
      </x:c>
      <x:c r="S189" s="23" t="str"/>
      <x:c r="T189" s="23" t="str">
        <x:v>https://pixelmonmod.com/wiki/Jumpluff</x:v>
      </x:c>
    </x:row>
    <x:row r="190" ht="54" customHeight="1">
      <x:c r="A190" s="27" t="n">
        <x:v>190</x:v>
      </x:c>
      <x:c r="B190" s="23" t="str">
        <x:v>Capumain</x:v>
      </x:c>
      <x:c r="C190" s="23" t="str">
        <x:v>Aipom</x:v>
      </x:c>
      <x:c r="D190" s="23" t="str">
        <x:v>Normal</x:v>
      </x:c>
      <x:c r="E190" s="23" t="str"/>
      <x:c r="F190" s="23" t="str">
        <x:v>Uncommon</x:v>
      </x:c>
      <x:c r="G190" s="45" t="n">
        <x:v>5000</x:v>
      </x:c>
      <x:c r="H190" s="45" t="n">
        <x:f>IF(G190="","",ROUNDUP(G190*3,0))</x:f>
        <x:v>15000</x:v>
      </x:c>
      <x:c r="I190" s="41" t="n">
        <x:v>1</x:v>
      </x:c>
      <x:c r="J190" s="42" t="n">
        <x:v>55</x:v>
      </x:c>
      <x:c r="K190" s="42" t="n">
        <x:v>70</x:v>
      </x:c>
      <x:c r="L190" s="42" t="n">
        <x:v>55</x:v>
      </x:c>
      <x:c r="M190" s="42" t="n">
        <x:v>40</x:v>
      </x:c>
      <x:c r="N190" s="42" t="n">
        <x:v>55</x:v>
      </x:c>
      <x:c r="O190" s="42" t="n">
        <x:v>85</x:v>
      </x:c>
      <x:c r="P190" s="43" t="n">
        <x:f>IF(COUNT(J190:O190)=0,"",SUM(J190:O190))</x:f>
        <x:v>360</x:v>
      </x:c>
      <x:c r="Q190" s="23" t="str">
        <x:v>4 lignes de spawn</x:v>
      </x:c>
      <x:c r="R190" s="23" t="str">
        <x:v>La queue de Capumain se termine par un appendice en forme de main qu'il manipule avec adresse. Cependant, à force d'utiliser sa queue, ses véritables mains sont devenues plutôt maladroites.</x:v>
      </x:c>
      <x:c r="S190" s="23" t="str"/>
      <x:c r="T190" s="23" t="str">
        <x:v>https://pixelmonmod.com/wiki/Aipom</x:v>
      </x:c>
    </x:row>
    <x:row r="191" ht="54" customHeight="1">
      <x:c r="A191" s="27" t="n">
        <x:v>191</x:v>
      </x:c>
      <x:c r="B191" s="23" t="str">
        <x:v>Tournegrin</x:v>
      </x:c>
      <x:c r="C191" s="23" t="str">
        <x:v>Sunkern</x:v>
      </x:c>
      <x:c r="D191" s="23" t="str">
        <x:v>Plante</x:v>
      </x:c>
      <x:c r="E191" s="23" t="str"/>
      <x:c r="F191" s="23" t="str">
        <x:v>Uncommon</x:v>
      </x:c>
      <x:c r="G191" s="45" t="n">
        <x:v>5000</x:v>
      </x:c>
      <x:c r="H191" s="45" t="n">
        <x:f>IF(G191="","",ROUNDUP(G191*3,0))</x:f>
        <x:v>15000</x:v>
      </x:c>
      <x:c r="I191" s="41" t="n">
        <x:v>1</x:v>
      </x:c>
      <x:c r="J191" s="42" t="n">
        <x:v>30</x:v>
      </x:c>
      <x:c r="K191" s="42" t="n">
        <x:v>30</x:v>
      </x:c>
      <x:c r="L191" s="42" t="n">
        <x:v>30</x:v>
      </x:c>
      <x:c r="M191" s="42" t="n">
        <x:v>30</x:v>
      </x:c>
      <x:c r="N191" s="42" t="n">
        <x:v>30</x:v>
      </x:c>
      <x:c r="O191" s="42" t="n">
        <x:v>30</x:v>
      </x:c>
      <x:c r="P191" s="43" t="n">
        <x:f>IF(COUNT(J191:O191)=0,"",SUM(J191:O191))</x:f>
        <x:v>180</x:v>
      </x:c>
      <x:c r="Q191" s="23" t="str">
        <x:v>2 lignes de spawn</x:v>
      </x:c>
      <x:c r="R191" s="23" t="str">
        <x:v>Tournegrin tente de bouger le moins possible. Il fait cela pour conserver les nutriments qu'il a accumulés en vue de son évolution. Il ne mange rien et se contente de rosée matinale.</x:v>
      </x:c>
      <x:c r="S191" s="23" t="str"/>
      <x:c r="T191" s="23" t="str">
        <x:v>https://pixelmonmod.com/wiki/Sunkern</x:v>
      </x:c>
    </x:row>
    <x:row r="192" ht="54" customHeight="1">
      <x:c r="A192" s="27" t="n">
        <x:v>192</x:v>
      </x:c>
      <x:c r="B192" s="23" t="str">
        <x:v>Héliatronc</x:v>
      </x:c>
      <x:c r="C192" s="23" t="str">
        <x:v>Sunflora</x:v>
      </x:c>
      <x:c r="D192" s="23" t="str">
        <x:v>Plante</x:v>
      </x:c>
      <x:c r="E192" s="23" t="str"/>
      <x:c r="F192" s="23" t="str">
        <x:v>Ultra Rare</x:v>
      </x:c>
      <x:c r="G192" s="45" t="n">
        <x:v>75000</x:v>
      </x:c>
      <x:c r="H192" s="45" t="n">
        <x:f>IF(G192="","",ROUNDUP(G192*3,0))</x:f>
        <x:v>225000</x:v>
      </x:c>
      <x:c r="I192" s="41" t="n">
        <x:v>1</x:v>
      </x:c>
      <x:c r="J192" s="42" t="n">
        <x:v>75</x:v>
      </x:c>
      <x:c r="K192" s="42" t="n">
        <x:v>75</x:v>
      </x:c>
      <x:c r="L192" s="42" t="n">
        <x:v>55</x:v>
      </x:c>
      <x:c r="M192" s="42" t="n">
        <x:v>105</x:v>
      </x:c>
      <x:c r="N192" s="42" t="n">
        <x:v>85</x:v>
      </x:c>
      <x:c r="O192" s="42" t="n">
        <x:v>30</x:v>
      </x:c>
      <x:c r="P192" s="43" t="n">
        <x:f>IF(COUNT(J192:O192)=0,"",SUM(J192:O192))</x:f>
        <x:v>425</x:v>
      </x:c>
      <x:c r="Q192" s="23" t="str">
        <x:v>2 lignes de spawn</x:v>
      </x:c>
      <x:c r="R192" s="23" t="str">
        <x:v>Héliatronc convertit l'énergie solaire en nutriments. Il s'active vivement pendant les journées chaudes. Dès que le soleil se couche, il cesse de bouger.</x:v>
      </x:c>
      <x:c r="S192" s="23" t="str"/>
      <x:c r="T192" s="23" t="str">
        <x:v>https://pixelmonmod.com/wiki/Sunflora</x:v>
      </x:c>
    </x:row>
    <x:row r="193" ht="54" customHeight="1">
      <x:c r="A193" s="27" t="n">
        <x:v>193</x:v>
      </x:c>
      <x:c r="B193" s="23" t="str">
        <x:v>Yanma</x:v>
      </x:c>
      <x:c r="C193" s="23" t="str">
        <x:v>Yanma</x:v>
      </x:c>
      <x:c r="D193" s="23" t="str">
        <x:v>Insecte</x:v>
      </x:c>
      <x:c r="E193" s="23" t="str">
        <x:v>Vol</x:v>
      </x:c>
      <x:c r="F193" s="23" t="str">
        <x:v>Uncommon</x:v>
      </x:c>
      <x:c r="G193" s="45" t="n">
        <x:v>5000</x:v>
      </x:c>
      <x:c r="H193" s="45" t="n">
        <x:f>IF(G193="","",ROUNDUP(G193*3,0))</x:f>
        <x:v>15000</x:v>
      </x:c>
      <x:c r="I193" s="41" t="n">
        <x:v>1</x:v>
      </x:c>
      <x:c r="J193" s="42" t="n">
        <x:v>65</x:v>
      </x:c>
      <x:c r="K193" s="42" t="n">
        <x:v>65</x:v>
      </x:c>
      <x:c r="L193" s="42" t="n">
        <x:v>45</x:v>
      </x:c>
      <x:c r="M193" s="42" t="n">
        <x:v>75</x:v>
      </x:c>
      <x:c r="N193" s="42" t="n">
        <x:v>45</x:v>
      </x:c>
      <x:c r="O193" s="42" t="n">
        <x:v>95</x:v>
      </x:c>
      <x:c r="P193" s="43" t="n">
        <x:f>IF(COUNT(J193:O193)=0,"",SUM(J193:O193))</x:f>
        <x:v>390</x:v>
      </x:c>
      <x:c r="Q193" s="23" t="str">
        <x:v>4 lignes de spawn</x:v>
      </x:c>
      <x:c r="R193" s="23" t="str">
        <x:v>Yanma peut voir à 360 degrés sans bouger les yeux. C'est un excellent volant, capable de s'arrêter net ou de tourner brusquement en plein vol. Il utilise sa vitesse pour poursuivre ses proies.</x:v>
      </x:c>
      <x:c r="S193" s="23" t="str"/>
      <x:c r="T193" s="23" t="str">
        <x:v>https://pixelmonmod.com/wiki/Yanma</x:v>
      </x:c>
    </x:row>
    <x:row r="194" ht="54" customHeight="1">
      <x:c r="A194" s="27" t="n">
        <x:v>194</x:v>
      </x:c>
      <x:c r="B194" s="23" t="str">
        <x:v>Axoloto</x:v>
      </x:c>
      <x:c r="C194" s="23" t="str">
        <x:v>Wooper</x:v>
      </x:c>
      <x:c r="D194" s="23" t="str">
        <x:v>Eau</x:v>
      </x:c>
      <x:c r="E194" s="23" t="str">
        <x:v>Sol</x:v>
      </x:c>
      <x:c r="F194" s="23" t="str">
        <x:v>Very Rare / Ultra Rare</x:v>
      </x:c>
      <x:c r="G194" s="45" t="n">
        <x:v>75000</x:v>
      </x:c>
      <x:c r="H194" s="45" t="n">
        <x:f>IF(G194="","",ROUNDUP(G194*3,0))</x:f>
        <x:v>225000</x:v>
      </x:c>
      <x:c r="I194" s="41" t="n">
        <x:v>0.353</x:v>
      </x:c>
      <x:c r="J194" s="42" t="n">
        <x:v>55</x:v>
      </x:c>
      <x:c r="K194" s="42" t="n">
        <x:v>45</x:v>
      </x:c>
      <x:c r="L194" s="42" t="n">
        <x:v>45</x:v>
      </x:c>
      <x:c r="M194" s="42" t="n">
        <x:v>25</x:v>
      </x:c>
      <x:c r="N194" s="42" t="n">
        <x:v>25</x:v>
      </x:c>
      <x:c r="O194" s="42" t="n">
        <x:v>15</x:v>
      </x:c>
      <x:c r="P194" s="43" t="n">
        <x:f>IF(COUNT(J194:O194)=0,"",SUM(J194:O194))</x:f>
        <x:v>210</x:v>
      </x:c>
      <x:c r="Q194" s="23" t="str">
        <x:v>17 lignes de spawn</x:v>
      </x:c>
      <x:c r="R194" s="23" t="str">
        <x:v>Axoloto vit généralement dans l'eau, mais il sort parfois sur la terre ferme pour chercher de la nourriture. Sur terre, il recouvre son corps d'un film toxique et gluant.</x:v>
      </x:c>
      <x:c r="S194" s="23" t="str">
        <x:v>Égalité de fréquence; prix provisoire basé sur le palier le plus élevé. Very Rare aligné sur le palier Super Rare (provisoire).</x:v>
      </x:c>
      <x:c r="T194" s="23" t="str">
        <x:v>https://pixelmonmod.com/wiki/Wooper</x:v>
      </x:c>
    </x:row>
    <x:row r="195" ht="54" customHeight="1">
      <x:c r="A195" s="27" t="n">
        <x:v>195</x:v>
      </x:c>
      <x:c r="B195" s="23" t="str">
        <x:v>Quagsire</x:v>
      </x:c>
      <x:c r="C195" s="23" t="str">
        <x:v>Quagsire</x:v>
      </x:c>
      <x:c r="D195" s="23" t="str">
        <x:v>Eau</x:v>
      </x:c>
      <x:c r="E195" s="23" t="str">
        <x:v>Sol</x:v>
      </x:c>
      <x:c r="F195" s="23" t="str">
        <x:v>Very Rare / Ultra Rare</x:v>
      </x:c>
      <x:c r="G195" s="45" t="n">
        <x:v>75000</x:v>
      </x:c>
      <x:c r="H195" s="45" t="n">
        <x:f>IF(G195="","",ROUNDUP(G195*3,0))</x:f>
        <x:v>225000</x:v>
      </x:c>
      <x:c r="I195" s="41" t="n">
        <x:v>0.364</x:v>
      </x:c>
      <x:c r="J195" s="42" t="n">
        <x:v>95</x:v>
      </x:c>
      <x:c r="K195" s="42" t="n">
        <x:v>85</x:v>
      </x:c>
      <x:c r="L195" s="42" t="n">
        <x:v>85</x:v>
      </x:c>
      <x:c r="M195" s="42" t="n">
        <x:v>65</x:v>
      </x:c>
      <x:c r="N195" s="42" t="n">
        <x:v>65</x:v>
      </x:c>
      <x:c r="O195" s="42" t="n">
        <x:v>35</x:v>
      </x:c>
      <x:c r="P195" s="43" t="n">
        <x:f>IF(COUNT(J195:O195)=0,"",SUM(J195:O195))</x:f>
        <x:v>430</x:v>
      </x:c>
      <x:c r="Q195" s="23" t="str">
        <x:v>11 lignes de spawn</x:v>
      </x:c>
      <x:c r="R195" s="23" t="str">
        <x:v>Quagsire chasse en restant dans l'eau la gueule grande ouverte, attendant qu'une proie s'y aventure sans s'en rendre compte. Comme il ne bouge quasiment pas, il n'a presque jamais faim.</x:v>
      </x:c>
      <x:c r="S195" s="23" t="str">
        <x:v>Égalité de fréquence; prix provisoire basé sur le palier le plus élevé. Very Rare aligné sur le palier Super Rare (provisoire).</x:v>
      </x:c>
      <x:c r="T195" s="23" t="str">
        <x:v>https://pixelmonmod.com/wiki/Quagsire</x:v>
      </x:c>
    </x:row>
    <x:row r="196" ht="54" customHeight="1">
      <x:c r="A196" s="27" t="n">
        <x:v>196</x:v>
      </x:c>
      <x:c r="B196" s="23" t="str">
        <x:v>Mentali</x:v>
      </x:c>
      <x:c r="C196" s="23" t="str">
        <x:v>Espeon</x:v>
      </x:c>
      <x:c r="D196" s="23" t="str">
        <x:v>Psy</x:v>
      </x:c>
      <x:c r="E196" s="23" t="str"/>
      <x:c r="F196" s="23" t="str">
        <x:v>Ultra Rare</x:v>
      </x:c>
      <x:c r="G196" s="45" t="n">
        <x:v>75000</x:v>
      </x:c>
      <x:c r="H196" s="45" t="n">
        <x:f>IF(G196="","",ROUNDUP(G196*3,0))</x:f>
        <x:v>225000</x:v>
      </x:c>
      <x:c r="I196" s="41" t="n">
        <x:v>0.8</x:v>
      </x:c>
      <x:c r="J196" s="42" t="n">
        <x:v>65</x:v>
      </x:c>
      <x:c r="K196" s="42" t="n">
        <x:v>65</x:v>
      </x:c>
      <x:c r="L196" s="42" t="n">
        <x:v>60</x:v>
      </x:c>
      <x:c r="M196" s="42" t="n">
        <x:v>130</x:v>
      </x:c>
      <x:c r="N196" s="42" t="n">
        <x:v>95</x:v>
      </x:c>
      <x:c r="O196" s="42" t="n">
        <x:v>110</x:v>
      </x:c>
      <x:c r="P196" s="43" t="n">
        <x:f>IF(COUNT(J196:O196)=0,"",SUM(J196:O196))</x:f>
        <x:v>525</x:v>
      </x:c>
      <x:c r="Q196" s="23" t="str">
        <x:v>5 lignes de spawn</x:v>
      </x:c>
      <x:c r="R196" s="23" t="str">
        <x:v>Mentali est extrêmement fidèle envers tout Dresseur qu'il juge digne. On dit qu'il aurait développé ses pouvoirs de précognition pour protéger son Dresseur.</x:v>
      </x:c>
      <x:c r="S196" s="23" t="str"/>
      <x:c r="T196" s="23" t="str">
        <x:v>https://pixelmonmod.com/wiki/Espeon</x:v>
      </x:c>
    </x:row>
    <x:row r="197" ht="54" customHeight="1">
      <x:c r="A197" s="27" t="n">
        <x:v>197</x:v>
      </x:c>
      <x:c r="B197" s="23" t="str">
        <x:v>Noctali</x:v>
      </x:c>
      <x:c r="C197" s="23" t="str">
        <x:v>Umbreon</x:v>
      </x:c>
      <x:c r="D197" s="23" t="str">
        <x:v>Ténèbres</x:v>
      </x:c>
      <x:c r="E197" s="23" t="str"/>
      <x:c r="F197" s="23" t="str">
        <x:v>Ultra Rare</x:v>
      </x:c>
      <x:c r="G197" s="45" t="n">
        <x:v>75000</x:v>
      </x:c>
      <x:c r="H197" s="45" t="n">
        <x:f>IF(G197="","",ROUNDUP(G197*3,0))</x:f>
        <x:v>225000</x:v>
      </x:c>
      <x:c r="I197" s="41" t="n">
        <x:v>0.833</x:v>
      </x:c>
      <x:c r="J197" s="42" t="n">
        <x:v>95</x:v>
      </x:c>
      <x:c r="K197" s="42" t="n">
        <x:v>65</x:v>
      </x:c>
      <x:c r="L197" s="42" t="n">
        <x:v>110</x:v>
      </x:c>
      <x:c r="M197" s="42" t="n">
        <x:v>60</x:v>
      </x:c>
      <x:c r="N197" s="42" t="n">
        <x:v>130</x:v>
      </x:c>
      <x:c r="O197" s="42" t="n">
        <x:v>65</x:v>
      </x:c>
      <x:c r="P197" s="43" t="n">
        <x:f>IF(COUNT(J197:O197)=0,"",SUM(J197:O197))</x:f>
        <x:v>525</x:v>
      </x:c>
      <x:c r="Q197" s="23" t="str">
        <x:v>6 lignes de spawn</x:v>
      </x:c>
      <x:c r="R197" s="23" t="str">
        <x:v>Noctali a évolué après avoir été exposé aux ondes lunaires. Il se cache silencieusement dans l'obscurité et attend que ses ennemis passent à l'attaque. Les anneaux sur son corps brillent lorsqu'il bondit pour frapper.</x:v>
      </x:c>
      <x:c r="S197" s="23" t="str"/>
      <x:c r="T197" s="23" t="str">
        <x:v>https://pixelmonmod.com/wiki/Umbreon</x:v>
      </x:c>
    </x:row>
    <x:row r="198" ht="54" customHeight="1">
      <x:c r="A198" s="27" t="n">
        <x:v>198</x:v>
      </x:c>
      <x:c r="B198" s="23" t="str">
        <x:v>Cornèbre</x:v>
      </x:c>
      <x:c r="C198" s="23" t="str">
        <x:v>Murkrow</x:v>
      </x:c>
      <x:c r="D198" s="23" t="str">
        <x:v>Ténèbres</x:v>
      </x:c>
      <x:c r="E198" s="23" t="str">
        <x:v>Vol</x:v>
      </x:c>
      <x:c r="F198" s="23" t="str">
        <x:v>Uncommon</x:v>
      </x:c>
      <x:c r="G198" s="45" t="n">
        <x:v>5000</x:v>
      </x:c>
      <x:c r="H198" s="45" t="n">
        <x:f>IF(G198="","",ROUNDUP(G198*3,0))</x:f>
        <x:v>15000</x:v>
      </x:c>
      <x:c r="I198" s="41" t="n">
        <x:v>1</x:v>
      </x:c>
      <x:c r="J198" s="42" t="n">
        <x:v>60</x:v>
      </x:c>
      <x:c r="K198" s="42" t="n">
        <x:v>85</x:v>
      </x:c>
      <x:c r="L198" s="42" t="n">
        <x:v>42</x:v>
      </x:c>
      <x:c r="M198" s="42" t="n">
        <x:v>85</x:v>
      </x:c>
      <x:c r="N198" s="42" t="n">
        <x:v>42</x:v>
      </x:c>
      <x:c r="O198" s="42" t="n">
        <x:v>91</x:v>
      </x:c>
      <x:c r="P198" s="43" t="n">
        <x:f>IF(COUNT(J198:O198)=0,"",SUM(J198:O198))</x:f>
        <x:v>405</x:v>
      </x:c>
      <x:c r="Q198" s="23" t="str">
        <x:v>7 lignes de spawn</x:v>
      </x:c>
      <x:c r="R198" s="23" t="str">
        <x:v>Cornèbre a longtemps été craint et détesté comme porteur de malheur. Il s'intéresse fortement à tout ce qui brille et tentera même de voler des bagues aux femmes.</x:v>
      </x:c>
      <x:c r="S198" s="23" t="str"/>
      <x:c r="T198" s="23" t="str">
        <x:v>https://pixelmonmod.com/wiki/Murkrow</x:v>
      </x:c>
    </x:row>
    <x:row r="199" ht="54" customHeight="1">
      <x:c r="A199" s="27" t="n">
        <x:v>199</x:v>
      </x:c>
      <x:c r="B199" s="23" t="str">
        <x:v>Roigada</x:v>
      </x:c>
      <x:c r="C199" s="23" t="str">
        <x:v>Slowking</x:v>
      </x:c>
      <x:c r="D199" s="23" t="str">
        <x:v>Eau</x:v>
      </x:c>
      <x:c r="E199" s="23" t="str">
        <x:v>Psy</x:v>
      </x:c>
      <x:c r="F199" s="23" t="str">
        <x:v>Non classé</x:v>
      </x:c>
      <x:c r="G199" s="45"/>
      <x:c r="H199" s="45" t="str">
        <x:f>IF(G199="","",ROUNDUP(G199*3,0))</x:f>
      </x:c>
      <x:c r="I199" s="41"/>
      <x:c r="J199" s="42" t="n">
        <x:v>95</x:v>
      </x:c>
      <x:c r="K199" s="42" t="n">
        <x:v>75</x:v>
      </x:c>
      <x:c r="L199" s="42" t="n">
        <x:v>80</x:v>
      </x:c>
      <x:c r="M199" s="42" t="n">
        <x:v>100</x:v>
      </x:c>
      <x:c r="N199" s="42" t="n">
        <x:v>110</x:v>
      </x:c>
      <x:c r="O199" s="42" t="n">
        <x:v>30</x:v>
      </x:c>
      <x:c r="P199" s="43" t="n">
        <x:f>IF(COUNT(J199:O199)=0,"",SUM(J199:O199))</x:f>
        <x:v>490</x:v>
      </x:c>
      <x:c r="Q199" s="23" t="str">
        <x:v>Aucune ligne classée</x:v>
      </x:c>
      <x:c r="R199" s="23" t="str">
        <x:v>Roigada mène des recherches quotidiennes pour résoudre les mystères du monde. Toutefois, il oublie tout si le Kokiyas sur sa tête se détache.</x:v>
      </x:c>
      <x:c r="S199" s="23" t="str">
        <x:v>Aucune rareté wiki exploitable; prix à fixer.</x:v>
      </x:c>
      <x:c r="T199" s="23" t="str">
        <x:v>https://pixelmonmod.com/wiki/Slowking</x:v>
      </x:c>
    </x:row>
    <x:row r="200" ht="54" customHeight="1">
      <x:c r="A200" s="27" t="n">
        <x:v>200</x:v>
      </x:c>
      <x:c r="B200" s="23" t="str">
        <x:v>Feuforêve</x:v>
      </x:c>
      <x:c r="C200" s="23" t="str">
        <x:v>Misdreavus</x:v>
      </x:c>
      <x:c r="D200" s="23" t="str">
        <x:v>Spectre</x:v>
      </x:c>
      <x:c r="E200" s="23" t="str"/>
      <x:c r="F200" s="23" t="str">
        <x:v>Rare</x:v>
      </x:c>
      <x:c r="G200" s="45" t="n">
        <x:v>12000</x:v>
      </x:c>
      <x:c r="H200" s="45" t="n">
        <x:f>IF(G200="","",ROUNDUP(G200*3,0))</x:f>
        <x:v>36000</x:v>
      </x:c>
      <x:c r="I200" s="41" t="n">
        <x:v>0.75</x:v>
      </x:c>
      <x:c r="J200" s="42" t="n">
        <x:v>60</x:v>
      </x:c>
      <x:c r="K200" s="42" t="n">
        <x:v>60</x:v>
      </x:c>
      <x:c r="L200" s="42" t="n">
        <x:v>60</x:v>
      </x:c>
      <x:c r="M200" s="42" t="n">
        <x:v>85</x:v>
      </x:c>
      <x:c r="N200" s="42" t="n">
        <x:v>85</x:v>
      </x:c>
      <x:c r="O200" s="42" t="n">
        <x:v>85</x:v>
      </x:c>
      <x:c r="P200" s="43" t="n">
        <x:f>IF(COUNT(J200:O200)=0,"",SUM(J200:O200))</x:f>
        <x:v>435</x:v>
      </x:c>
      <x:c r="Q200" s="23" t="str">
        <x:v>4 lignes de spawn</x:v>
      </x:c>
      <x:c r="R200" s="23" t="str">
        <x:v>Feuforêve effraie les gens avec son cri lugubre et sanglotant. Il semble utiliser ses sphères rouges pour absorber la peur de ses ennemis et s'en nourrir.</x:v>
      </x:c>
      <x:c r="S200" s="23" t="str"/>
      <x:c r="T200" s="23" t="str">
        <x:v>https://pixelmonmod.com/wiki/Misdreavus</x:v>
      </x:c>
    </x:row>
    <x:row r="201" ht="54" customHeight="1">
      <x:c r="A201" s="27" t="n">
        <x:v>201</x:v>
      </x:c>
      <x:c r="B201" s="23" t="str">
        <x:v>Zarbi</x:v>
      </x:c>
      <x:c r="C201" s="23" t="str">
        <x:v>Unown</x:v>
      </x:c>
      <x:c r="D201" s="23" t="str">
        <x:v>Psy</x:v>
      </x:c>
      <x:c r="E201" s="23" t="str"/>
      <x:c r="F201" s="23" t="str">
        <x:v>Ultra Rare</x:v>
      </x:c>
      <x:c r="G201" s="45" t="n">
        <x:v>75000</x:v>
      </x:c>
      <x:c r="H201" s="45" t="n">
        <x:f>IF(G201="","",ROUNDUP(G201*3,0))</x:f>
        <x:v>225000</x:v>
      </x:c>
      <x:c r="I201" s="41" t="n">
        <x:v>1</x:v>
      </x:c>
      <x:c r="J201" s="42" t="n">
        <x:v>48</x:v>
      </x:c>
      <x:c r="K201" s="42" t="n">
        <x:v>72</x:v>
      </x:c>
      <x:c r="L201" s="42" t="n">
        <x:v>48</x:v>
      </x:c>
      <x:c r="M201" s="42" t="n">
        <x:v>72</x:v>
      </x:c>
      <x:c r="N201" s="42" t="n">
        <x:v>48</x:v>
      </x:c>
      <x:c r="O201" s="42" t="n">
        <x:v>48</x:v>
      </x:c>
      <x:c r="P201" s="43" t="n">
        <x:f>IF(COUNT(J201:O201)=0,"",SUM(J201:O201))</x:f>
        <x:v>336</x:v>
      </x:c>
      <x:c r="Q201" s="23" t="str">
        <x:v>6 lignes de spawn</x:v>
      </x:c>
      <x:c r="R201" s="23" t="str">
        <x:v>Ce Pokémon a la forme d'une lettre ancienne. On ignore si les écritures anciennes ou les différents Zarbi sont apparus en premier. Les recherches continuent, mais on ne sait rien de certain.</x:v>
      </x:c>
      <x:c r="S201" s="23" t="str"/>
      <x:c r="T201" s="23" t="str">
        <x:v>https://pixelmonmod.com/wiki/Unown</x:v>
      </x:c>
    </x:row>
    <x:row r="202" ht="54" customHeight="1">
      <x:c r="A202" s="27" t="n">
        <x:v>202</x:v>
      </x:c>
      <x:c r="B202" s="23" t="str">
        <x:v>Qulbutoké</x:v>
      </x:c>
      <x:c r="C202" s="23" t="str">
        <x:v>Wobbuffet</x:v>
      </x:c>
      <x:c r="D202" s="23" t="str">
        <x:v>Psy</x:v>
      </x:c>
      <x:c r="E202" s="23" t="str"/>
      <x:c r="F202" s="23" t="str">
        <x:v>Rare</x:v>
      </x:c>
      <x:c r="G202" s="45" t="n">
        <x:v>12000</x:v>
      </x:c>
      <x:c r="H202" s="45" t="n">
        <x:f>IF(G202="","",ROUNDUP(G202*3,0))</x:f>
        <x:v>36000</x:v>
      </x:c>
      <x:c r="I202" s="41" t="n">
        <x:v>1</x:v>
      </x:c>
      <x:c r="J202" s="42" t="n">
        <x:v>190</x:v>
      </x:c>
      <x:c r="K202" s="42" t="n">
        <x:v>33</x:v>
      </x:c>
      <x:c r="L202" s="42" t="n">
        <x:v>58</x:v>
      </x:c>
      <x:c r="M202" s="42" t="n">
        <x:v>33</x:v>
      </x:c>
      <x:c r="N202" s="42" t="n">
        <x:v>58</x:v>
      </x:c>
      <x:c r="O202" s="42" t="n">
        <x:v>33</x:v>
      </x:c>
      <x:c r="P202" s="43" t="n">
        <x:f>IF(COUNT(J202:O202)=0,"",SUM(J202:O202))</x:f>
        <x:v>405</x:v>
      </x:c>
      <x:c r="Q202" s="23" t="str">
        <x:v>2 lignes de spawn</x:v>
      </x:c>
      <x:c r="R202" s="23" t="str">
        <x:v>Lorsque plusieurs Qulbutoké se rencontrent, ils deviennent compétitifs et tentent de surpasser l'endurance des autres. Ils peuvent même essayer de voir lequel restera le plus longtemps sans manger. Les Dresseurs doivent se méfier de cette habitude.</x:v>
      </x:c>
      <x:c r="S202" s="23" t="str"/>
      <x:c r="T202" s="23" t="str">
        <x:v>https://pixelmonmod.com/wiki/Wobbuffet</x:v>
      </x:c>
    </x:row>
    <x:row r="203" ht="54" customHeight="1">
      <x:c r="A203" s="27" t="n">
        <x:v>203</x:v>
      </x:c>
      <x:c r="B203" s="23" t="str">
        <x:v>Girafarig</x:v>
      </x:c>
      <x:c r="C203" s="23" t="str">
        <x:v>Girafarig</x:v>
      </x:c>
      <x:c r="D203" s="23" t="str">
        <x:v>Normal</x:v>
      </x:c>
      <x:c r="E203" s="23" t="str">
        <x:v>Psy</x:v>
      </x:c>
      <x:c r="F203" s="23" t="str">
        <x:v>Uncommon</x:v>
      </x:c>
      <x:c r="G203" s="45" t="n">
        <x:v>5000</x:v>
      </x:c>
      <x:c r="H203" s="45" t="n">
        <x:f>IF(G203="","",ROUNDUP(G203*3,0))</x:f>
        <x:v>15000</x:v>
      </x:c>
      <x:c r="I203" s="41" t="n">
        <x:v>1</x:v>
      </x:c>
      <x:c r="J203" s="42" t="n">
        <x:v>70</x:v>
      </x:c>
      <x:c r="K203" s="42" t="n">
        <x:v>80</x:v>
      </x:c>
      <x:c r="L203" s="42" t="n">
        <x:v>65</x:v>
      </x:c>
      <x:c r="M203" s="42" t="n">
        <x:v>90</x:v>
      </x:c>
      <x:c r="N203" s="42" t="n">
        <x:v>65</x:v>
      </x:c>
      <x:c r="O203" s="42" t="n">
        <x:v>85</x:v>
      </x:c>
      <x:c r="P203" s="43" t="n">
        <x:f>IF(COUNT(J203:O203)=0,"",SUM(J203:O203))</x:f>
        <x:v>455</x:v>
      </x:c>
      <x:c r="Q203" s="23" t="str">
        <x:v>1 lignes de spawn</x:v>
      </x:c>
      <x:c r="R203" s="23" t="str">
        <x:v>La tête située à l'arrière de Girafarig possède également un cerveau, mais il est petit. L'arrière-tête attaque en réponse aux odeurs et aux sons. Approcher ce Pokémon par derrière peut provoquer une attaque soudaine et une morsure.</x:v>
      </x:c>
      <x:c r="S203" s="23" t="str"/>
      <x:c r="T203" s="23" t="str">
        <x:v>https://pixelmonmod.com/wiki/Girafarig</x:v>
      </x:c>
    </x:row>
    <x:row r="204" ht="54" customHeight="1">
      <x:c r="A204" s="27" t="n">
        <x:v>204</x:v>
      </x:c>
      <x:c r="B204" s="23" t="str">
        <x:v>Pomdepik</x:v>
      </x:c>
      <x:c r="C204" s="23" t="str">
        <x:v>Pineco</x:v>
      </x:c>
      <x:c r="D204" s="23" t="str">
        <x:v>Insecte</x:v>
      </x:c>
      <x:c r="E204" s="23" t="str"/>
      <x:c r="F204" s="23" t="str">
        <x:v>Uncommon</x:v>
      </x:c>
      <x:c r="G204" s="45" t="n">
        <x:v>5000</x:v>
      </x:c>
      <x:c r="H204" s="45" t="n">
        <x:f>IF(G204="","",ROUNDUP(G204*3,0))</x:f>
        <x:v>15000</x:v>
      </x:c>
      <x:c r="I204" s="41" t="n">
        <x:v>1</x:v>
      </x:c>
      <x:c r="J204" s="42" t="n">
        <x:v>50</x:v>
      </x:c>
      <x:c r="K204" s="42" t="n">
        <x:v>65</x:v>
      </x:c>
      <x:c r="L204" s="42" t="n">
        <x:v>90</x:v>
      </x:c>
      <x:c r="M204" s="42" t="n">
        <x:v>35</x:v>
      </x:c>
      <x:c r="N204" s="42" t="n">
        <x:v>35</x:v>
      </x:c>
      <x:c r="O204" s="42" t="n">
        <x:v>15</x:v>
      </x:c>
      <x:c r="P204" s="43" t="n">
        <x:f>IF(COUNT(J204:O204)=0,"",SUM(J204:O204))</x:f>
        <x:v>290</x:v>
      </x:c>
      <x:c r="Q204" s="23" t="str">
        <x:v>6 lignes de spawn</x:v>
      </x:c>
      <x:c r="R204" s="23" t="str">
        <x:v>Pomdepik s'accroche à une branche et attend patiemment qu'une proie passe. Si on secoue l'arbre pendant qu'il mange, il se laisse tomber et explose sans prévenir.</x:v>
      </x:c>
      <x:c r="S204" s="23" t="str"/>
      <x:c r="T204" s="23" t="str">
        <x:v>https://pixelmonmod.com/wiki/Pineco</x:v>
      </x:c>
    </x:row>
    <x:row r="205" ht="54" customHeight="1">
      <x:c r="A205" s="27" t="n">
        <x:v>205</x:v>
      </x:c>
      <x:c r="B205" s="23" t="str">
        <x:v>Foretress</x:v>
      </x:c>
      <x:c r="C205" s="23" t="str">
        <x:v>Forretress</x:v>
      </x:c>
      <x:c r="D205" s="23" t="str">
        <x:v>Insecte</x:v>
      </x:c>
      <x:c r="E205" s="23" t="str">
        <x:v>Acier</x:v>
      </x:c>
      <x:c r="F205" s="23" t="str">
        <x:v>Rare / Ultra Rare</x:v>
      </x:c>
      <x:c r="G205" s="45" t="n">
        <x:v>75000</x:v>
      </x:c>
      <x:c r="H205" s="45" t="n">
        <x:f>IF(G205="","",ROUNDUP(G205*3,0))</x:f>
        <x:v>225000</x:v>
      </x:c>
      <x:c r="I205" s="41" t="n">
        <x:v>0.5</x:v>
      </x:c>
      <x:c r="J205" s="42" t="n">
        <x:v>75</x:v>
      </x:c>
      <x:c r="K205" s="42" t="n">
        <x:v>90</x:v>
      </x:c>
      <x:c r="L205" s="42" t="n">
        <x:v>140</x:v>
      </x:c>
      <x:c r="M205" s="42" t="n">
        <x:v>60</x:v>
      </x:c>
      <x:c r="N205" s="42" t="n">
        <x:v>60</x:v>
      </x:c>
      <x:c r="O205" s="42" t="n">
        <x:v>40</x:v>
      </x:c>
      <x:c r="P205" s="43" t="n">
        <x:f>IF(COUNT(J205:O205)=0,"",SUM(J205:O205))</x:f>
        <x:v>465</x:v>
      </x:c>
      <x:c r="Q205" s="23" t="str">
        <x:v>6 lignes de spawn</x:v>
      </x:c>
      <x:c r="R205" s="23" t="str">
        <x:v>Foretress se cache dans sa carapace d'acier durcie. Elle ne s'ouvre que lorsqu'il capture une proie, si rapidement qu'on n'en voit jamais l'intérieur.</x:v>
      </x:c>
      <x:c r="S205" s="23" t="str">
        <x:v>Égalité de fréquence; prix provisoire basé sur le palier le plus élevé.</x:v>
      </x:c>
      <x:c r="T205" s="23" t="str">
        <x:v>https://pixelmonmod.com/wiki/Forretress</x:v>
      </x:c>
    </x:row>
    <x:row r="206" ht="54" customHeight="1">
      <x:c r="A206" s="27" t="n">
        <x:v>206</x:v>
      </x:c>
      <x:c r="B206" s="23" t="str">
        <x:v>Insolourdo</x:v>
      </x:c>
      <x:c r="C206" s="23" t="str">
        <x:v>Dunsparce</x:v>
      </x:c>
      <x:c r="D206" s="23" t="str">
        <x:v>Normal</x:v>
      </x:c>
      <x:c r="E206" s="23" t="str"/>
      <x:c r="F206" s="23" t="str">
        <x:v>Rare</x:v>
      </x:c>
      <x:c r="G206" s="45" t="n">
        <x:v>12000</x:v>
      </x:c>
      <x:c r="H206" s="45" t="n">
        <x:f>IF(G206="","",ROUNDUP(G206*3,0))</x:f>
        <x:v>36000</x:v>
      </x:c>
      <x:c r="I206" s="41" t="n">
        <x:v>0.667</x:v>
      </x:c>
      <x:c r="J206" s="42" t="n">
        <x:v>100</x:v>
      </x:c>
      <x:c r="K206" s="42" t="n">
        <x:v>70</x:v>
      </x:c>
      <x:c r="L206" s="42" t="n">
        <x:v>70</x:v>
      </x:c>
      <x:c r="M206" s="42" t="n">
        <x:v>65</x:v>
      </x:c>
      <x:c r="N206" s="42" t="n">
        <x:v>65</x:v>
      </x:c>
      <x:c r="O206" s="42" t="n">
        <x:v>45</x:v>
      </x:c>
      <x:c r="P206" s="43" t="n">
        <x:f>IF(COUNT(J206:O206)=0,"",SUM(J206:O206))</x:f>
        <x:v>415</x:v>
      </x:c>
      <x:c r="Q206" s="23" t="str">
        <x:v>6 lignes de spawn</x:v>
      </x:c>
      <x:c r="R206" s="23" t="str">
        <x:v>Insolourdo possède une queue en forme de foret. Il l'utilise pour creuser à reculons. Il construit des nids complexes profondément sous terre.</x:v>
      </x:c>
      <x:c r="S206" s="23" t="str"/>
      <x:c r="T206" s="23" t="str">
        <x:v>https://pixelmonmod.com/wiki/Dunsparce</x:v>
      </x:c>
    </x:row>
    <x:row r="207" ht="54" customHeight="1">
      <x:c r="A207" s="27" t="n">
        <x:v>207</x:v>
      </x:c>
      <x:c r="B207" s="23" t="str">
        <x:v>Scorplane</x:v>
      </x:c>
      <x:c r="C207" s="23" t="str">
        <x:v>Gligar</x:v>
      </x:c>
      <x:c r="D207" s="23" t="str">
        <x:v>Sol</x:v>
      </x:c>
      <x:c r="E207" s="23" t="str">
        <x:v>Vol</x:v>
      </x:c>
      <x:c r="F207" s="23" t="str">
        <x:v>Uncommon</x:v>
      </x:c>
      <x:c r="G207" s="45" t="n">
        <x:v>5000</x:v>
      </x:c>
      <x:c r="H207" s="45" t="n">
        <x:f>IF(G207="","",ROUNDUP(G207*3,0))</x:f>
        <x:v>15000</x:v>
      </x:c>
      <x:c r="I207" s="41" t="n">
        <x:v>1</x:v>
      </x:c>
      <x:c r="J207" s="42" t="n">
        <x:v>65</x:v>
      </x:c>
      <x:c r="K207" s="42" t="n">
        <x:v>75</x:v>
      </x:c>
      <x:c r="L207" s="42" t="n">
        <x:v>105</x:v>
      </x:c>
      <x:c r="M207" s="42" t="n">
        <x:v>35</x:v>
      </x:c>
      <x:c r="N207" s="42" t="n">
        <x:v>65</x:v>
      </x:c>
      <x:c r="O207" s="42" t="n">
        <x:v>85</x:v>
      </x:c>
      <x:c r="P207" s="43" t="n">
        <x:f>IF(COUNT(J207:O207)=0,"",SUM(J207:O207))</x:f>
        <x:v>430</x:v>
      </x:c>
      <x:c r="Q207" s="23" t="str">
        <x:v>3 lignes de spawn</x:v>
      </x:c>
      <x:c r="R207" s="23" t="str">
        <x:v>Scorplane plane dans les airs sans un bruit, comme s'il glissait. Ce Pokémon s'agrippe au visage de sa proie grâce à ses pattes arrière griffues et aux grandes pinces de ses pattes avant, puis injecte son venin avec son dard.</x:v>
      </x:c>
      <x:c r="S207" s="23" t="str"/>
      <x:c r="T207" s="23" t="str">
        <x:v>https://pixelmonmod.com/wiki/Gligar</x:v>
      </x:c>
    </x:row>
    <x:row r="208" ht="54" customHeight="1">
      <x:c r="A208" s="27" t="n">
        <x:v>208</x:v>
      </x:c>
      <x:c r="B208" s="23" t="str">
        <x:v>Steelix</x:v>
      </x:c>
      <x:c r="C208" s="23" t="str">
        <x:v>Steelix</x:v>
      </x:c>
      <x:c r="D208" s="23" t="str">
        <x:v>Acier</x:v>
      </x:c>
      <x:c r="E208" s="23" t="str">
        <x:v>Sol</x:v>
      </x:c>
      <x:c r="F208" s="23" t="str">
        <x:v>Ultra Rare</x:v>
      </x:c>
      <x:c r="G208" s="45" t="n">
        <x:v>75000</x:v>
      </x:c>
      <x:c r="H208" s="45" t="n">
        <x:f>IF(G208="","",ROUNDUP(G208*3,0))</x:f>
        <x:v>225000</x:v>
      </x:c>
      <x:c r="I208" s="41" t="n">
        <x:v>1</x:v>
      </x:c>
      <x:c r="J208" s="42" t="n">
        <x:v>75</x:v>
      </x:c>
      <x:c r="K208" s="42" t="n">
        <x:v>85</x:v>
      </x:c>
      <x:c r="L208" s="42" t="n">
        <x:v>200</x:v>
      </x:c>
      <x:c r="M208" s="42" t="n">
        <x:v>55</x:v>
      </x:c>
      <x:c r="N208" s="42" t="n">
        <x:v>65</x:v>
      </x:c>
      <x:c r="O208" s="42" t="n">
        <x:v>30</x:v>
      </x:c>
      <x:c r="P208" s="43" t="n">
        <x:f>IF(COUNT(J208:O208)=0,"",SUM(J208:O208))</x:f>
        <x:v>510</x:v>
      </x:c>
      <x:c r="Q208" s="23" t="str">
        <x:v>3 lignes de spawn</x:v>
      </x:c>
      <x:c r="R208" s="23" t="str">
        <x:v>Steelix vit encore plus profondément sous terre qu'Onix. Ce Pokémon est connu pour creuser en direction du cœur de la planète. Des archives mentionnent qu'il a déjà atteint une profondeur de plus d'un kilomètre.</x:v>
      </x:c>
      <x:c r="S208" s="23" t="str"/>
      <x:c r="T208" s="23" t="str">
        <x:v>https://pixelmonmod.com/wiki/Steelix</x:v>
      </x:c>
    </x:row>
    <x:row r="209" ht="54" customHeight="1">
      <x:c r="A209" s="27" t="n">
        <x:v>209</x:v>
      </x:c>
      <x:c r="B209" s="23" t="str">
        <x:v>Snubbull</x:v>
      </x:c>
      <x:c r="C209" s="23" t="str">
        <x:v>Snubbull</x:v>
      </x:c>
      <x:c r="D209" s="23" t="str">
        <x:v>Fée</x:v>
      </x:c>
      <x:c r="E209" s="23" t="str"/>
      <x:c r="F209" s="23" t="str">
        <x:v>Uncommon</x:v>
      </x:c>
      <x:c r="G209" s="45" t="n">
        <x:v>5000</x:v>
      </x:c>
      <x:c r="H209" s="45" t="n">
        <x:f>IF(G209="","",ROUNDUP(G209*3,0))</x:f>
        <x:v>15000</x:v>
      </x:c>
      <x:c r="I209" s="41" t="n">
        <x:v>1</x:v>
      </x:c>
      <x:c r="J209" s="42" t="n">
        <x:v>60</x:v>
      </x:c>
      <x:c r="K209" s="42" t="n">
        <x:v>80</x:v>
      </x:c>
      <x:c r="L209" s="42" t="n">
        <x:v>50</x:v>
      </x:c>
      <x:c r="M209" s="42" t="n">
        <x:v>40</x:v>
      </x:c>
      <x:c r="N209" s="42" t="n">
        <x:v>40</x:v>
      </x:c>
      <x:c r="O209" s="42" t="n">
        <x:v>30</x:v>
      </x:c>
      <x:c r="P209" s="43" t="n">
        <x:f>IF(COUNT(J209:O209)=0,"",SUM(J209:O209))</x:f>
        <x:v>300</x:v>
      </x:c>
      <x:c r="Q209" s="23" t="str">
        <x:v>1 lignes de spawn</x:v>
      </x:c>
      <x:c r="R209" s="23" t="str">
        <x:v>En montrant ses crocs et son visage menaçant, Snubbull fait fuir les petits Pokémon. Il semble pourtant un peu triste de les voir prendre la fuite.</x:v>
      </x:c>
      <x:c r="S209" s="23" t="str"/>
      <x:c r="T209" s="23" t="str">
        <x:v>https://pixelmonmod.com/wiki/Snubbull</x:v>
      </x:c>
    </x:row>
    <x:row r="210" ht="54" customHeight="1">
      <x:c r="A210" s="27" t="n">
        <x:v>210</x:v>
      </x:c>
      <x:c r="B210" s="23" t="str">
        <x:v>Granbull</x:v>
      </x:c>
      <x:c r="C210" s="23" t="str">
        <x:v>Granbull</x:v>
      </x:c>
      <x:c r="D210" s="23" t="str">
        <x:v>Fée</x:v>
      </x:c>
      <x:c r="E210" s="23" t="str"/>
      <x:c r="F210" s="23" t="str">
        <x:v>Ultra Rare</x:v>
      </x:c>
      <x:c r="G210" s="45" t="n">
        <x:v>75000</x:v>
      </x:c>
      <x:c r="H210" s="45" t="n">
        <x:f>IF(G210="","",ROUNDUP(G210*3,0))</x:f>
        <x:v>225000</x:v>
      </x:c>
      <x:c r="I210" s="41" t="n">
        <x:v>1</x:v>
      </x:c>
      <x:c r="J210" s="42" t="n">
        <x:v>90</x:v>
      </x:c>
      <x:c r="K210" s="42" t="n">
        <x:v>120</x:v>
      </x:c>
      <x:c r="L210" s="42" t="n">
        <x:v>75</x:v>
      </x:c>
      <x:c r="M210" s="42" t="n">
        <x:v>60</x:v>
      </x:c>
      <x:c r="N210" s="42" t="n">
        <x:v>60</x:v>
      </x:c>
      <x:c r="O210" s="42" t="n">
        <x:v>45</x:v>
      </x:c>
      <x:c r="P210" s="43" t="n">
        <x:f>IF(COUNT(J210:O210)=0,"",SUM(J210:O210))</x:f>
        <x:v>450</x:v>
      </x:c>
      <x:c r="Q210" s="23" t="str">
        <x:v>1 lignes de spawn</x:v>
      </x:c>
      <x:c r="R210" s="23" t="str">
        <x:v>Granbull possède une mâchoire inférieure particulièrement développée. Ses énormes crocs sont lourds, l'obligeant à pencher la tête en arrière pour garder l'équilibre. À moins d'être surpris, il ne mord pas sans raison.</x:v>
      </x:c>
      <x:c r="S210" s="23" t="str"/>
      <x:c r="T210" s="23" t="str">
        <x:v>https://pixelmonmod.com/wiki/Granbull</x:v>
      </x:c>
    </x:row>
    <x:row r="211" ht="54" customHeight="1">
      <x:c r="A211" s="27" t="n">
        <x:v>211</x:v>
      </x:c>
      <x:c r="B211" s="23" t="str">
        <x:v>Qwilfish</x:v>
      </x:c>
      <x:c r="C211" s="23" t="str">
        <x:v>Qwilfish</x:v>
      </x:c>
      <x:c r="D211" s="23" t="str">
        <x:v>Eau</x:v>
      </x:c>
      <x:c r="E211" s="23" t="str">
        <x:v>Poison</x:v>
      </x:c>
      <x:c r="F211" s="23" t="str">
        <x:v>Ultra Rare</x:v>
      </x:c>
      <x:c r="G211" s="45" t="n">
        <x:v>75000</x:v>
      </x:c>
      <x:c r="H211" s="45" t="n">
        <x:f>IF(G211="","",ROUNDUP(G211*3,0))</x:f>
        <x:v>225000</x:v>
      </x:c>
      <x:c r="I211" s="41" t="n">
        <x:v>0.5</x:v>
      </x:c>
      <x:c r="J211" s="42" t="n">
        <x:v>65</x:v>
      </x:c>
      <x:c r="K211" s="42" t="n">
        <x:v>95</x:v>
      </x:c>
      <x:c r="L211" s="42" t="n">
        <x:v>85</x:v>
      </x:c>
      <x:c r="M211" s="42" t="n">
        <x:v>55</x:v>
      </x:c>
      <x:c r="N211" s="42" t="n">
        <x:v>55</x:v>
      </x:c>
      <x:c r="O211" s="42" t="n">
        <x:v>85</x:v>
      </x:c>
      <x:c r="P211" s="43" t="n">
        <x:f>IF(COUNT(J211:O211)=0,"",SUM(J211:O211))</x:f>
        <x:v>440</x:v>
      </x:c>
      <x:c r="Q211" s="23" t="str">
        <x:v>22 lignes de spawn</x:v>
      </x:c>
      <x:c r="R211" s="23" t="str">
        <x:v>Qwilfish aspire de l'eau pour se gonfler. Il utilise ensuite la pression de cette eau pour projeter d'un coup tous ses piquants empoisonnés. La nage lui demande pas mal d'efforts.</x:v>
      </x:c>
      <x:c r="S211" s="23" t="str"/>
      <x:c r="T211" s="23" t="str">
        <x:v>https://pixelmonmod.com/wiki/Qwilfish</x:v>
      </x:c>
    </x:row>
    <x:row r="212" ht="54" customHeight="1">
      <x:c r="A212" s="27" t="n">
        <x:v>212</x:v>
      </x:c>
      <x:c r="B212" s="23" t="str">
        <x:v>Cizayox</x:v>
      </x:c>
      <x:c r="C212" s="23" t="str">
        <x:v>Scizor</x:v>
      </x:c>
      <x:c r="D212" s="23" t="str">
        <x:v>Insecte</x:v>
      </x:c>
      <x:c r="E212" s="23" t="str">
        <x:v>Acier</x:v>
      </x:c>
      <x:c r="F212" s="23" t="str">
        <x:v>Ultra Rare</x:v>
      </x:c>
      <x:c r="G212" s="45" t="n">
        <x:v>75000</x:v>
      </x:c>
      <x:c r="H212" s="45" t="n">
        <x:f>IF(G212="","",ROUNDUP(G212*3,0))</x:f>
        <x:v>225000</x:v>
      </x:c>
      <x:c r="I212" s="41" t="n">
        <x:v>1</x:v>
      </x:c>
      <x:c r="J212" s="42" t="n">
        <x:v>70</x:v>
      </x:c>
      <x:c r="K212" s="42" t="n">
        <x:v>130</x:v>
      </x:c>
      <x:c r="L212" s="42" t="n">
        <x:v>100</x:v>
      </x:c>
      <x:c r="M212" s="42" t="n">
        <x:v>55</x:v>
      </x:c>
      <x:c r="N212" s="42" t="n">
        <x:v>80</x:v>
      </x:c>
      <x:c r="O212" s="42" t="n">
        <x:v>65</x:v>
      </x:c>
      <x:c r="P212" s="43" t="n">
        <x:f>IF(COUNT(J212:O212)=0,"",SUM(J212:O212))</x:f>
        <x:v>500</x:v>
      </x:c>
      <x:c r="Q212" s="23" t="str">
        <x:v>3 lignes de spawn</x:v>
      </x:c>
      <x:c r="R212" s="23" t="str">
        <x:v>Le corps de Cizayox est aussi dur que l'acier. Les attaques ordinaires ne l'ébranlent guère. Ce Pokémon bat des ailes pour réguler sa température corporelle.</x:v>
      </x:c>
      <x:c r="S212" s="23" t="str"/>
      <x:c r="T212" s="23" t="str">
        <x:v>https://pixelmonmod.com/wiki/Scizor</x:v>
      </x:c>
    </x:row>
    <x:row r="213" ht="54" customHeight="1">
      <x:c r="A213" s="27" t="n">
        <x:v>213</x:v>
      </x:c>
      <x:c r="B213" s="23" t="str">
        <x:v>Caratroc</x:v>
      </x:c>
      <x:c r="C213" s="23" t="str">
        <x:v>Shuckle</x:v>
      </x:c>
      <x:c r="D213" s="23" t="str">
        <x:v>Insecte</x:v>
      </x:c>
      <x:c r="E213" s="23" t="str">
        <x:v>Roche</x:v>
      </x:c>
      <x:c r="F213" s="23" t="str">
        <x:v>Uncommon</x:v>
      </x:c>
      <x:c r="G213" s="45" t="n">
        <x:v>5000</x:v>
      </x:c>
      <x:c r="H213" s="45" t="n">
        <x:f>IF(G213="","",ROUNDUP(G213*3,0))</x:f>
        <x:v>15000</x:v>
      </x:c>
      <x:c r="I213" s="41" t="n">
        <x:v>0.857</x:v>
      </x:c>
      <x:c r="J213" s="42" t="n">
        <x:v>20</x:v>
      </x:c>
      <x:c r="K213" s="42" t="n">
        <x:v>10</x:v>
      </x:c>
      <x:c r="L213" s="42" t="n">
        <x:v>230</x:v>
      </x:c>
      <x:c r="M213" s="42" t="n">
        <x:v>10</x:v>
      </x:c>
      <x:c r="N213" s="42" t="n">
        <x:v>230</x:v>
      </x:c>
      <x:c r="O213" s="42" t="n">
        <x:v>5</x:v>
      </x:c>
      <x:c r="P213" s="43" t="n">
        <x:f>IF(COUNT(J213:O213)=0,"",SUM(J213:O213))</x:f>
        <x:v>505</x:v>
      </x:c>
      <x:c r="Q213" s="23" t="str">
        <x:v>7 lignes de spawn</x:v>
      </x:c>
      <x:c r="R213" s="23" t="str">
        <x:v>Caratroc se cache tranquillement sous les rochers, conservant son corps dans sa carapace solide, tout en mangeant les Baies qu'il stocke. Celles-ci se mêlent à ses fluides corporels pour former un jus.</x:v>
      </x:c>
      <x:c r="S213" s="23" t="str"/>
      <x:c r="T213" s="23" t="str">
        <x:v>https://pixelmonmod.com/wiki/Shuckle</x:v>
      </x:c>
    </x:row>
    <x:row r="214" ht="54" customHeight="1">
      <x:c r="A214" s="27" t="n">
        <x:v>214</x:v>
      </x:c>
      <x:c r="B214" s="23" t="str">
        <x:v>Scarhino</x:v>
      </x:c>
      <x:c r="C214" s="23" t="str">
        <x:v>Heracross</x:v>
      </x:c>
      <x:c r="D214" s="23" t="str">
        <x:v>Insecte</x:v>
      </x:c>
      <x:c r="E214" s="23" t="str">
        <x:v>Combat</x:v>
      </x:c>
      <x:c r="F214" s="23" t="str">
        <x:v>Ultra Rare</x:v>
      </x:c>
      <x:c r="G214" s="45" t="n">
        <x:v>75000</x:v>
      </x:c>
      <x:c r="H214" s="45" t="n">
        <x:f>IF(G214="","",ROUNDUP(G214*3,0))</x:f>
        <x:v>225000</x:v>
      </x:c>
      <x:c r="I214" s="41" t="n">
        <x:v>0.6</x:v>
      </x:c>
      <x:c r="J214" s="42" t="n">
        <x:v>80</x:v>
      </x:c>
      <x:c r="K214" s="42" t="n">
        <x:v>125</x:v>
      </x:c>
      <x:c r="L214" s="42" t="n">
        <x:v>75</x:v>
      </x:c>
      <x:c r="M214" s="42" t="n">
        <x:v>40</x:v>
      </x:c>
      <x:c r="N214" s="42" t="n">
        <x:v>95</x:v>
      </x:c>
      <x:c r="O214" s="42" t="n">
        <x:v>85</x:v>
      </x:c>
      <x:c r="P214" s="43" t="n">
        <x:f>IF(COUNT(J214:O214)=0,"",SUM(J214:O214))</x:f>
        <x:v>500</x:v>
      </x:c>
      <x:c r="Q214" s="23" t="str">
        <x:v>10 lignes de spawn</x:v>
      </x:c>
      <x:c r="R214" s="23" t="str">
        <x:v>Scarhino charge en ligne droite, se glisse sous l'ennemi et le projette grâce à sa puissante corne. Il peut même déraciner un énorme arbre.</x:v>
      </x:c>
      <x:c r="S214" s="23" t="str"/>
      <x:c r="T214" s="23" t="str">
        <x:v>https://pixelmonmod.com/wiki/Heracross</x:v>
      </x:c>
    </x:row>
    <x:row r="215" ht="54" customHeight="1">
      <x:c r="A215" s="27" t="n">
        <x:v>215</x:v>
      </x:c>
      <x:c r="B215" s="23" t="str">
        <x:v>Farfuret</x:v>
      </x:c>
      <x:c r="C215" s="23" t="str">
        <x:v>Sneasel</x:v>
      </x:c>
      <x:c r="D215" s="23" t="str">
        <x:v>Ténèbres</x:v>
      </x:c>
      <x:c r="E215" s="23" t="str">
        <x:v>Glace</x:v>
      </x:c>
      <x:c r="F215" s="23" t="str">
        <x:v>Ultra Rare</x:v>
      </x:c>
      <x:c r="G215" s="45" t="n">
        <x:v>75000</x:v>
      </x:c>
      <x:c r="H215" s="45" t="n">
        <x:f>IF(G215="","",ROUNDUP(G215*3,0))</x:f>
        <x:v>225000</x:v>
      </x:c>
      <x:c r="I215" s="41" t="n">
        <x:v>0.5</x:v>
      </x:c>
      <x:c r="J215" s="42" t="n">
        <x:v>55</x:v>
      </x:c>
      <x:c r="K215" s="42" t="n">
        <x:v>95</x:v>
      </x:c>
      <x:c r="L215" s="42" t="n">
        <x:v>55</x:v>
      </x:c>
      <x:c r="M215" s="42" t="n">
        <x:v>35</x:v>
      </x:c>
      <x:c r="N215" s="42" t="n">
        <x:v>75</x:v>
      </x:c>
      <x:c r="O215" s="42" t="n">
        <x:v>115</x:v>
      </x:c>
      <x:c r="P215" s="43" t="n">
        <x:f>IF(COUNT(J215:O215)=0,"",SUM(J215:O215))</x:f>
        <x:v>430</x:v>
      </x:c>
      <x:c r="Q215" s="23" t="str">
        <x:v>4 lignes de spawn</x:v>
      </x:c>
      <x:c r="R215" s="23" t="str">
        <x:v>Farfuret grimpe aux arbres en plantant ses griffes recourbées dans l'écorce. Il cherche les nids sans surveillance et vole les Œufs.</x:v>
      </x:c>
      <x:c r="S215" s="23" t="str"/>
      <x:c r="T215" s="23" t="str">
        <x:v>https://pixelmonmod.com/wiki/Sneasel</x:v>
      </x:c>
    </x:row>
    <x:row r="216" ht="54" customHeight="1">
      <x:c r="A216" s="27" t="n">
        <x:v>216</x:v>
      </x:c>
      <x:c r="B216" s="23" t="str">
        <x:v>Teddiursa</x:v>
      </x:c>
      <x:c r="C216" s="23" t="str">
        <x:v>Teddiursa</x:v>
      </x:c>
      <x:c r="D216" s="23" t="str">
        <x:v>Normal</x:v>
      </x:c>
      <x:c r="E216" s="23" t="str"/>
      <x:c r="F216" s="23" t="str">
        <x:v>Common / Uncommon</x:v>
      </x:c>
      <x:c r="G216" s="45" t="n">
        <x:v>5000</x:v>
      </x:c>
      <x:c r="H216" s="45" t="n">
        <x:f>IF(G216="","",ROUNDUP(G216*3,0))</x:f>
        <x:v>15000</x:v>
      </x:c>
      <x:c r="I216" s="41" t="n">
        <x:v>0.5</x:v>
      </x:c>
      <x:c r="J216" s="42" t="n">
        <x:v>60</x:v>
      </x:c>
      <x:c r="K216" s="42" t="n">
        <x:v>80</x:v>
      </x:c>
      <x:c r="L216" s="42" t="n">
        <x:v>50</x:v>
      </x:c>
      <x:c r="M216" s="42" t="n">
        <x:v>50</x:v>
      </x:c>
      <x:c r="N216" s="42" t="n">
        <x:v>50</x:v>
      </x:c>
      <x:c r="O216" s="42" t="n">
        <x:v>40</x:v>
      </x:c>
      <x:c r="P216" s="43" t="n">
        <x:f>IF(COUNT(J216:O216)=0,"",SUM(J216:O216))</x:f>
        <x:v>330</x:v>
      </x:c>
      <x:c r="Q216" s="23" t="str">
        <x:v>2 lignes de spawn</x:v>
      </x:c>
      <x:c r="R216" s="23" t="str">
        <x:v>Ce Pokémon aime lécher ses paumes, sucrées après avoir été baignées dans le miel. Teddiursa fabrique son propre miel en mélangeant des fruits et du pollen récolté par Dardargnan.</x:v>
      </x:c>
      <x:c r="S216" s="23" t="str">
        <x:v>Égalité de fréquence; prix provisoire basé sur le palier le plus élevé.</x:v>
      </x:c>
      <x:c r="T216" s="23" t="str">
        <x:v>https://pixelmonmod.com/wiki/Teddiursa</x:v>
      </x:c>
    </x:row>
    <x:row r="217" ht="54" customHeight="1">
      <x:c r="A217" s="27" t="n">
        <x:v>217</x:v>
      </x:c>
      <x:c r="B217" s="23" t="str">
        <x:v>Ursaring</x:v>
      </x:c>
      <x:c r="C217" s="23" t="str">
        <x:v>Ursaring</x:v>
      </x:c>
      <x:c r="D217" s="23" t="str">
        <x:v>Normal</x:v>
      </x:c>
      <x:c r="E217" s="23" t="str"/>
      <x:c r="F217" s="23" t="str">
        <x:v>Ultra Rare</x:v>
      </x:c>
      <x:c r="G217" s="45" t="n">
        <x:v>75000</x:v>
      </x:c>
      <x:c r="H217" s="45" t="n">
        <x:f>IF(G217="","",ROUNDUP(G217*3,0))</x:f>
        <x:v>225000</x:v>
      </x:c>
      <x:c r="I217" s="41" t="n">
        <x:v>0.667</x:v>
      </x:c>
      <x:c r="J217" s="42" t="n">
        <x:v>90</x:v>
      </x:c>
      <x:c r="K217" s="42" t="n">
        <x:v>130</x:v>
      </x:c>
      <x:c r="L217" s="42" t="n">
        <x:v>75</x:v>
      </x:c>
      <x:c r="M217" s="42" t="n">
        <x:v>75</x:v>
      </x:c>
      <x:c r="N217" s="42" t="n">
        <x:v>75</x:v>
      </x:c>
      <x:c r="O217" s="42" t="n">
        <x:v>55</x:v>
      </x:c>
      <x:c r="P217" s="43" t="n">
        <x:f>IF(COUNT(J217:O217)=0,"",SUM(J217:O217))</x:f>
        <x:v>500</x:v>
      </x:c>
      <x:c r="Q217" s="23" t="str">
        <x:v>3 lignes de spawn</x:v>
      </x:c>
      <x:c r="R217" s="23" t="str">
        <x:v>Dans les forêts où vivent les Ursaring, on dit que se trouvent de nombreux cours d'eau et d'immenses arbres où ils collectent leur nourriture. Ce Pokémon parcourt sa forêt chaque jour à la recherche de nourriture.</x:v>
      </x:c>
      <x:c r="S217" s="23" t="str"/>
      <x:c r="T217" s="23" t="str">
        <x:v>https://pixelmonmod.com/wiki/Ursaring</x:v>
      </x:c>
    </x:row>
    <x:row r="218" ht="54" customHeight="1">
      <x:c r="A218" s="27" t="n">
        <x:v>218</x:v>
      </x:c>
      <x:c r="B218" s="23" t="str">
        <x:v>Limagma</x:v>
      </x:c>
      <x:c r="C218" s="23" t="str">
        <x:v>Slugma</x:v>
      </x:c>
      <x:c r="D218" s="23" t="str">
        <x:v>Feu</x:v>
      </x:c>
      <x:c r="E218" s="23" t="str"/>
      <x:c r="F218" s="23" t="str">
        <x:v>Uncommon</x:v>
      </x:c>
      <x:c r="G218" s="45" t="n">
        <x:v>5000</x:v>
      </x:c>
      <x:c r="H218" s="45" t="n">
        <x:f>IF(G218="","",ROUNDUP(G218*3,0))</x:f>
        <x:v>15000</x:v>
      </x:c>
      <x:c r="I218" s="41" t="n">
        <x:v>1</x:v>
      </x:c>
      <x:c r="J218" s="42" t="n">
        <x:v>40</x:v>
      </x:c>
      <x:c r="K218" s="42" t="n">
        <x:v>40</x:v>
      </x:c>
      <x:c r="L218" s="42" t="n">
        <x:v>40</x:v>
      </x:c>
      <x:c r="M218" s="42" t="n">
        <x:v>70</x:v>
      </x:c>
      <x:c r="N218" s="42" t="n">
        <x:v>40</x:v>
      </x:c>
      <x:c r="O218" s="42" t="n">
        <x:v>20</x:v>
      </x:c>
      <x:c r="P218" s="43" t="n">
        <x:f>IF(COUNT(J218:O218)=0,"",SUM(J218:O218))</x:f>
        <x:v>250</x:v>
      </x:c>
      <x:c r="Q218" s="23" t="str">
        <x:v>11 lignes de spawn</x:v>
      </x:c>
      <x:c r="R218" s="23" t="str">
        <x:v>Un magma en fusion circule dans le corps de Limagma. S'il refroidit, le magma se solidifie et son corps devient friable, perdant des morceaux et diminuant sa taille.</x:v>
      </x:c>
      <x:c r="S218" s="23" t="str"/>
      <x:c r="T218" s="23" t="str">
        <x:v>https://pixelmonmod.com/wiki/Slugma</x:v>
      </x:c>
    </x:row>
    <x:row r="219" ht="54" customHeight="1">
      <x:c r="A219" s="27" t="n">
        <x:v>219</x:v>
      </x:c>
      <x:c r="B219" s="23" t="str">
        <x:v>Volcaropod</x:v>
      </x:c>
      <x:c r="C219" s="23" t="str">
        <x:v>Magcargo</x:v>
      </x:c>
      <x:c r="D219" s="23" t="str">
        <x:v>Feu</x:v>
      </x:c>
      <x:c r="E219" s="23" t="str">
        <x:v>Roche</x:v>
      </x:c>
      <x:c r="F219" s="23" t="str">
        <x:v>Ultra Rare</x:v>
      </x:c>
      <x:c r="G219" s="45" t="n">
        <x:v>75000</x:v>
      </x:c>
      <x:c r="H219" s="45" t="n">
        <x:f>IF(G219="","",ROUNDUP(G219*3,0))</x:f>
        <x:v>225000</x:v>
      </x:c>
      <x:c r="I219" s="41" t="n">
        <x:v>0.909</x:v>
      </x:c>
      <x:c r="J219" s="42" t="n">
        <x:v>60</x:v>
      </x:c>
      <x:c r="K219" s="42" t="n">
        <x:v>50</x:v>
      </x:c>
      <x:c r="L219" s="42" t="n">
        <x:v>120</x:v>
      </x:c>
      <x:c r="M219" s="42" t="n">
        <x:v>90</x:v>
      </x:c>
      <x:c r="N219" s="42" t="n">
        <x:v>80</x:v>
      </x:c>
      <x:c r="O219" s="42" t="n">
        <x:v>30</x:v>
      </x:c>
      <x:c r="P219" s="43" t="n">
        <x:f>IF(COUNT(J219:O219)=0,"",SUM(J219:O219))</x:f>
        <x:v>430</x:v>
      </x:c>
      <x:c r="Q219" s="23" t="str">
        <x:v>11 lignes de spawn</x:v>
      </x:c>
      <x:c r="R219" s="23" t="str">
        <x:v>La carapace de Volcaropod est en réalité sa peau durcie par le refroidissement. Elle est très fragile : il suffit d'un simple contact pour qu'elle s'effrite. Ce Pokémon retrouve sa taille d'origine en s'immergeant dans le magma.</x:v>
      </x:c>
      <x:c r="S219" s="23" t="str"/>
      <x:c r="T219" s="23" t="str">
        <x:v>https://pixelmonmod.com/wiki/Magcargo</x:v>
      </x:c>
    </x:row>
    <x:row r="220" ht="54" customHeight="1">
      <x:c r="A220" s="27" t="n">
        <x:v>220</x:v>
      </x:c>
      <x:c r="B220" s="23" t="str">
        <x:v>Marcacrin</x:v>
      </x:c>
      <x:c r="C220" s="23" t="str">
        <x:v>Swinub</x:v>
      </x:c>
      <x:c r="D220" s="23" t="str">
        <x:v>Glace</x:v>
      </x:c>
      <x:c r="E220" s="23" t="str">
        <x:v>Sol</x:v>
      </x:c>
      <x:c r="F220" s="23" t="str">
        <x:v>Common</x:v>
      </x:c>
      <x:c r="G220" s="45" t="n">
        <x:v>2000</x:v>
      </x:c>
      <x:c r="H220" s="45" t="n">
        <x:f>IF(G220="","",ROUNDUP(G220*3,0))</x:f>
        <x:v>6000</x:v>
      </x:c>
      <x:c r="I220" s="41" t="n">
        <x:v>1</x:v>
      </x:c>
      <x:c r="J220" s="42" t="n">
        <x:v>50</x:v>
      </x:c>
      <x:c r="K220" s="42" t="n">
        <x:v>50</x:v>
      </x:c>
      <x:c r="L220" s="42" t="n">
        <x:v>40</x:v>
      </x:c>
      <x:c r="M220" s="42" t="n">
        <x:v>30</x:v>
      </x:c>
      <x:c r="N220" s="42" t="n">
        <x:v>30</x:v>
      </x:c>
      <x:c r="O220" s="42" t="n">
        <x:v>50</x:v>
      </x:c>
      <x:c r="P220" s="43" t="n">
        <x:f>IF(COUNT(J220:O220)=0,"",SUM(J220:O220))</x:f>
        <x:v>250</x:v>
      </x:c>
      <x:c r="Q220" s="23" t="str">
        <x:v>4 lignes de spawn</x:v>
      </x:c>
      <x:c r="R220" s="23" t="str">
        <x:v>Marcacrin cherche sa nourriture en frottant son groin contre le sol. Son mets préféré est un champignon poussant sous l'herbe morte. Il lui arrive parfois de dénicher des sources chaudes.</x:v>
      </x:c>
      <x:c r="S220" s="23" t="str"/>
      <x:c r="T220" s="23" t="str">
        <x:v>https://pixelmonmod.com/wiki/Swinub</x:v>
      </x:c>
    </x:row>
    <x:row r="221" ht="54" customHeight="1">
      <x:c r="A221" s="27" t="n">
        <x:v>221</x:v>
      </x:c>
      <x:c r="B221" s="23" t="str">
        <x:v>Cochignon</x:v>
      </x:c>
      <x:c r="C221" s="23" t="str">
        <x:v>Piloswine</x:v>
      </x:c>
      <x:c r="D221" s="23" t="str">
        <x:v>Glace</x:v>
      </x:c>
      <x:c r="E221" s="23" t="str">
        <x:v>Sol</x:v>
      </x:c>
      <x:c r="F221" s="23" t="str">
        <x:v>Rare</x:v>
      </x:c>
      <x:c r="G221" s="45" t="n">
        <x:v>12000</x:v>
      </x:c>
      <x:c r="H221" s="45" t="n">
        <x:f>IF(G221="","",ROUNDUP(G221*3,0))</x:f>
        <x:v>36000</x:v>
      </x:c>
      <x:c r="I221" s="41" t="n">
        <x:v>1</x:v>
      </x:c>
      <x:c r="J221" s="42" t="n">
        <x:v>100</x:v>
      </x:c>
      <x:c r="K221" s="42" t="n">
        <x:v>100</x:v>
      </x:c>
      <x:c r="L221" s="42" t="n">
        <x:v>80</x:v>
      </x:c>
      <x:c r="M221" s="42" t="n">
        <x:v>60</x:v>
      </x:c>
      <x:c r="N221" s="42" t="n">
        <x:v>60</x:v>
      </x:c>
      <x:c r="O221" s="42" t="n">
        <x:v>50</x:v>
      </x:c>
      <x:c r="P221" s="43" t="n">
        <x:f>IF(COUNT(J221:O221)=0,"",SUM(J221:O221))</x:f>
        <x:v>450</x:v>
      </x:c>
      <x:c r="Q221" s="23" t="str">
        <x:v>4 lignes de spawn</x:v>
      </x:c>
      <x:c r="R221" s="23" t="str">
        <x:v>Cochignon est couvert d'un épais manteau de longs poils lui permettant de résister au froid glacial. Il utilise ses défenses pour déterrer la nourriture enfouie sous la glace.</x:v>
      </x:c>
      <x:c r="S221" s="23" t="str"/>
      <x:c r="T221" s="23" t="str">
        <x:v>https://pixelmonmod.com/wiki/Piloswine</x:v>
      </x:c>
    </x:row>
    <x:row r="222" ht="54" customHeight="1">
      <x:c r="A222" s="27" t="n">
        <x:v>222</x:v>
      </x:c>
      <x:c r="B222" s="23" t="str">
        <x:v>Corayon</x:v>
      </x:c>
      <x:c r="C222" s="23" t="str">
        <x:v>Corsola</x:v>
      </x:c>
      <x:c r="D222" s="23" t="str">
        <x:v>Eau</x:v>
      </x:c>
      <x:c r="E222" s="23" t="str">
        <x:v>Roche</x:v>
      </x:c>
      <x:c r="F222" s="23" t="str">
        <x:v>Rare</x:v>
      </x:c>
      <x:c r="G222" s="45" t="n">
        <x:v>12000</x:v>
      </x:c>
      <x:c r="H222" s="45" t="n">
        <x:f>IF(G222="","",ROUNDUP(G222*3,0))</x:f>
        <x:v>36000</x:v>
      </x:c>
      <x:c r="I222" s="41" t="n">
        <x:v>0.611</x:v>
      </x:c>
      <x:c r="J222" s="42" t="n">
        <x:v>65</x:v>
      </x:c>
      <x:c r="K222" s="42" t="n">
        <x:v>55</x:v>
      </x:c>
      <x:c r="L222" s="42" t="n">
        <x:v>95</x:v>
      </x:c>
      <x:c r="M222" s="42" t="n">
        <x:v>65</x:v>
      </x:c>
      <x:c r="N222" s="42" t="n">
        <x:v>95</x:v>
      </x:c>
      <x:c r="O222" s="42" t="n">
        <x:v>35</x:v>
      </x:c>
      <x:c r="P222" s="43" t="n">
        <x:f>IF(COUNT(J222:O222)=0,"",SUM(J222:O222))</x:f>
        <x:v>410</x:v>
      </x:c>
      <x:c r="Q222" s="23" t="str">
        <x:v>18 lignes de spawn</x:v>
      </x:c>
      <x:c r="R222" s="23" t="str">
        <x:v>Les branches de Corayon scintillent magnifiquement de sept couleurs lorsqu'elles captent la lumière du soleil. Si une branche se casse, ce Pokémon la fait repousser en une seule nuit.</x:v>
      </x:c>
      <x:c r="S222" s="23" t="str"/>
      <x:c r="T222" s="23" t="str">
        <x:v>https://pixelmonmod.com/wiki/Corsola</x:v>
      </x:c>
    </x:row>
    <x:row r="223" ht="54" customHeight="1">
      <x:c r="A223" s="27" t="n">
        <x:v>223</x:v>
      </x:c>
      <x:c r="B223" s="23" t="str">
        <x:v>Rémoraid</x:v>
      </x:c>
      <x:c r="C223" s="23" t="str">
        <x:v>Remoraid</x:v>
      </x:c>
      <x:c r="D223" s="23" t="str">
        <x:v>Eau</x:v>
      </x:c>
      <x:c r="E223" s="23" t="str"/>
      <x:c r="F223" s="23" t="str">
        <x:v>Common</x:v>
      </x:c>
      <x:c r="G223" s="45" t="n">
        <x:v>2000</x:v>
      </x:c>
      <x:c r="H223" s="45" t="n">
        <x:f>IF(G223="","",ROUNDUP(G223*3,0))</x:f>
        <x:v>6000</x:v>
      </x:c>
      <x:c r="I223" s="41" t="n">
        <x:v>1</x:v>
      </x:c>
      <x:c r="J223" s="42" t="n">
        <x:v>35</x:v>
      </x:c>
      <x:c r="K223" s="42" t="n">
        <x:v>65</x:v>
      </x:c>
      <x:c r="L223" s="42" t="n">
        <x:v>35</x:v>
      </x:c>
      <x:c r="M223" s="42" t="n">
        <x:v>65</x:v>
      </x:c>
      <x:c r="N223" s="42" t="n">
        <x:v>35</x:v>
      </x:c>
      <x:c r="O223" s="42" t="n">
        <x:v>65</x:v>
      </x:c>
      <x:c r="P223" s="43" t="n">
        <x:f>IF(COUNT(J223:O223)=0,"",SUM(J223:O223))</x:f>
        <x:v>300</x:v>
      </x:c>
      <x:c r="Q223" s="23" t="str">
        <x:v>8 lignes de spawn</x:v>
      </x:c>
      <x:c r="R223" s="23" t="str">
        <x:v>Rémoraid aspire de l'eau puis la rejette à grande vitesse grâce à ses muscles abdominaux pour abattre des proies volantes. Quand l'évolution approche, il descend les rivières.</x:v>
      </x:c>
      <x:c r="S223" s="23" t="str"/>
      <x:c r="T223" s="23" t="str">
        <x:v>https://pixelmonmod.com/wiki/Remoraid</x:v>
      </x:c>
    </x:row>
    <x:row r="224" ht="54" customHeight="1">
      <x:c r="A224" s="27" t="n">
        <x:v>224</x:v>
      </x:c>
      <x:c r="B224" s="23" t="str">
        <x:v>Octillery</x:v>
      </x:c>
      <x:c r="C224" s="23" t="str">
        <x:v>Octillery</x:v>
      </x:c>
      <x:c r="D224" s="23" t="str">
        <x:v>Eau</x:v>
      </x:c>
      <x:c r="E224" s="23" t="str"/>
      <x:c r="F224" s="23" t="str">
        <x:v>Rare / Ultra Rare</x:v>
      </x:c>
      <x:c r="G224" s="45" t="n">
        <x:v>75000</x:v>
      </x:c>
      <x:c r="H224" s="45" t="n">
        <x:f>IF(G224="","",ROUNDUP(G224*3,0))</x:f>
        <x:v>225000</x:v>
      </x:c>
      <x:c r="I224" s="41" t="n">
        <x:v>0.455</x:v>
      </x:c>
      <x:c r="J224" s="42" t="n">
        <x:v>75</x:v>
      </x:c>
      <x:c r="K224" s="42" t="n">
        <x:v>105</x:v>
      </x:c>
      <x:c r="L224" s="42" t="n">
        <x:v>75</x:v>
      </x:c>
      <x:c r="M224" s="42" t="n">
        <x:v>105</x:v>
      </x:c>
      <x:c r="N224" s="42" t="n">
        <x:v>75</x:v>
      </x:c>
      <x:c r="O224" s="42" t="n">
        <x:v>45</x:v>
      </x:c>
      <x:c r="P224" s="43" t="n">
        <x:f>IF(COUNT(J224:O224)=0,"",SUM(J224:O224))</x:f>
        <x:v>480</x:v>
      </x:c>
      <x:c r="Q224" s="23" t="str">
        <x:v>11 lignes de spawn</x:v>
      </x:c>
      <x:c r="R224" s="23" t="str">
        <x:v>Octillery agrippe son adversaire avec ses tentacules. Ce Pokémon tente de l'immobiliser avant d'asséner le coup final. Si son ennemi se révèle trop fort, Octillery crache de l'encre pour s'enfuir.</x:v>
      </x:c>
      <x:c r="S224" s="23" t="str">
        <x:v>Égalité de fréquence; prix provisoire basé sur le palier le plus élevé.</x:v>
      </x:c>
      <x:c r="T224" s="23" t="str">
        <x:v>https://pixelmonmod.com/wiki/Octillery</x:v>
      </x:c>
    </x:row>
    <x:row r="225" ht="54" customHeight="1">
      <x:c r="A225" s="27" t="n">
        <x:v>225</x:v>
      </x:c>
      <x:c r="B225" s="23" t="str">
        <x:v>Cadoizo</x:v>
      </x:c>
      <x:c r="C225" s="23" t="str">
        <x:v>Delibird</x:v>
      </x:c>
      <x:c r="D225" s="23" t="str">
        <x:v>Glace</x:v>
      </x:c>
      <x:c r="E225" s="23" t="str">
        <x:v>Vol</x:v>
      </x:c>
      <x:c r="F225" s="23" t="str">
        <x:v>Rare</x:v>
      </x:c>
      <x:c r="G225" s="45" t="n">
        <x:v>12000</x:v>
      </x:c>
      <x:c r="H225" s="45" t="n">
        <x:f>IF(G225="","",ROUNDUP(G225*3,0))</x:f>
        <x:v>36000</x:v>
      </x:c>
      <x:c r="I225" s="41" t="n">
        <x:v>1</x:v>
      </x:c>
      <x:c r="J225" s="42" t="n">
        <x:v>45</x:v>
      </x:c>
      <x:c r="K225" s="42" t="n">
        <x:v>55</x:v>
      </x:c>
      <x:c r="L225" s="42" t="n">
        <x:v>45</x:v>
      </x:c>
      <x:c r="M225" s="42" t="n">
        <x:v>65</x:v>
      </x:c>
      <x:c r="N225" s="42" t="n">
        <x:v>45</x:v>
      </x:c>
      <x:c r="O225" s="42" t="n">
        <x:v>75</x:v>
      </x:c>
      <x:c r="P225" s="43" t="n">
        <x:f>IF(COUNT(J225:O225)=0,"",SUM(J225:O225))</x:f>
        <x:v>330</x:v>
      </x:c>
      <x:c r="Q225" s="23" t="str">
        <x:v>2 lignes de spawn</x:v>
      </x:c>
      <x:c r="R225" s="23" t="str">
        <x:v>Cadoizo transporte sa nourriture enroulée dans sa queue. Un célèbre explorateur parvint jadis au sommet de la plus haute montagne du monde grâce à un de ces Pokémon qui partagea ses provisions.</x:v>
      </x:c>
      <x:c r="S225" s="23" t="str"/>
      <x:c r="T225" s="23" t="str">
        <x:v>https://pixelmonmod.com/wiki/Delibird</x:v>
      </x:c>
    </x:row>
    <x:row r="226" ht="54" customHeight="1">
      <x:c r="A226" s="27" t="n">
        <x:v>226</x:v>
      </x:c>
      <x:c r="B226" s="23" t="str">
        <x:v>Démanta</x:v>
      </x:c>
      <x:c r="C226" s="23" t="str">
        <x:v>Mantine</x:v>
      </x:c>
      <x:c r="D226" s="23" t="str">
        <x:v>Eau</x:v>
      </x:c>
      <x:c r="E226" s="23" t="str">
        <x:v>Vol</x:v>
      </x:c>
      <x:c r="F226" s="23" t="str">
        <x:v>Rare / Ultra Rare</x:v>
      </x:c>
      <x:c r="G226" s="45" t="n">
        <x:v>75000</x:v>
      </x:c>
      <x:c r="H226" s="45" t="n">
        <x:f>IF(G226="","",ROUNDUP(G226*3,0))</x:f>
        <x:v>225000</x:v>
      </x:c>
      <x:c r="I226" s="41" t="n">
        <x:v>0.5</x:v>
      </x:c>
      <x:c r="J226" s="42" t="n">
        <x:v>85</x:v>
      </x:c>
      <x:c r="K226" s="42" t="n">
        <x:v>40</x:v>
      </x:c>
      <x:c r="L226" s="42" t="n">
        <x:v>70</x:v>
      </x:c>
      <x:c r="M226" s="42" t="n">
        <x:v>80</x:v>
      </x:c>
      <x:c r="N226" s="42" t="n">
        <x:v>140</x:v>
      </x:c>
      <x:c r="O226" s="42" t="n">
        <x:v>70</x:v>
      </x:c>
      <x:c r="P226" s="43" t="n">
        <x:f>IF(COUNT(J226:O226)=0,"",SUM(J226:O226))</x:f>
        <x:v>485</x:v>
      </x:c>
      <x:c r="Q226" s="23" t="str">
        <x:v>8 lignes de spawn</x:v>
      </x:c>
      <x:c r="R226" s="23" t="str">
        <x:v>Par temps ensoleillé, on peut voir des bancs de Démanta sauter gracieusement par-dessus les vagues. Ce Pokémon n'est pas dérangé par les Rémoraid qui s'accrochent à lui.</x:v>
      </x:c>
      <x:c r="S226" s="23" t="str">
        <x:v>Égalité de fréquence; prix provisoire basé sur le palier le plus élevé.</x:v>
      </x:c>
      <x:c r="T226" s="23" t="str">
        <x:v>https://pixelmonmod.com/wiki/Mantine</x:v>
      </x:c>
    </x:row>
    <x:row r="227" ht="54" customHeight="1">
      <x:c r="A227" s="27" t="n">
        <x:v>227</x:v>
      </x:c>
      <x:c r="B227" s="23" t="str">
        <x:v>Airmure</x:v>
      </x:c>
      <x:c r="C227" s="23" t="str">
        <x:v>Skarmory</x:v>
      </x:c>
      <x:c r="D227" s="23" t="str">
        <x:v>Acier</x:v>
      </x:c>
      <x:c r="E227" s="23" t="str">
        <x:v>Vol</x:v>
      </x:c>
      <x:c r="F227" s="23" t="str">
        <x:v>Rare</x:v>
      </x:c>
      <x:c r="G227" s="45" t="n">
        <x:v>12000</x:v>
      </x:c>
      <x:c r="H227" s="45" t="n">
        <x:f>IF(G227="","",ROUNDUP(G227*3,0))</x:f>
        <x:v>36000</x:v>
      </x:c>
      <x:c r="I227" s="41" t="n">
        <x:v>1</x:v>
      </x:c>
      <x:c r="J227" s="42" t="n">
        <x:v>65</x:v>
      </x:c>
      <x:c r="K227" s="42" t="n">
        <x:v>80</x:v>
      </x:c>
      <x:c r="L227" s="42" t="n">
        <x:v>140</x:v>
      </x:c>
      <x:c r="M227" s="42" t="n">
        <x:v>40</x:v>
      </x:c>
      <x:c r="N227" s="42" t="n">
        <x:v>70</x:v>
      </x:c>
      <x:c r="O227" s="42" t="n">
        <x:v>70</x:v>
      </x:c>
      <x:c r="P227" s="43" t="n">
        <x:f>IF(COUNT(J227:O227)=0,"",SUM(J227:O227))</x:f>
        <x:v>465</x:v>
      </x:c>
      <x:c r="Q227" s="23" t="str">
        <x:v>7 lignes de spawn</x:v>
      </x:c>
      <x:c r="R227" s="23" t="str">
        <x:v>Airmure est entièrement recouvert d'une armure dure et protectrice. Il peut voler à près de 300 km/h et lacère ses ennemis avec ses ailes aux bords acérés comme des lames.</x:v>
      </x:c>
      <x:c r="S227" s="23" t="str"/>
      <x:c r="T227" s="23" t="str">
        <x:v>https://pixelmonmod.com/wiki/Skarmory</x:v>
      </x:c>
    </x:row>
    <x:row r="228" ht="54" customHeight="1">
      <x:c r="A228" s="27" t="n">
        <x:v>228</x:v>
      </x:c>
      <x:c r="B228" s="23" t="str">
        <x:v>Malosse</x:v>
      </x:c>
      <x:c r="C228" s="23" t="str">
        <x:v>Houndour</x:v>
      </x:c>
      <x:c r="D228" s="23" t="str">
        <x:v>Ténèbres</x:v>
      </x:c>
      <x:c r="E228" s="23" t="str">
        <x:v>Feu</x:v>
      </x:c>
      <x:c r="F228" s="23" t="str">
        <x:v>Uncommon</x:v>
      </x:c>
      <x:c r="G228" s="45" t="n">
        <x:v>5000</x:v>
      </x:c>
      <x:c r="H228" s="45" t="n">
        <x:f>IF(G228="","",ROUNDUP(G228*3,0))</x:f>
        <x:v>15000</x:v>
      </x:c>
      <x:c r="I228" s="41" t="n">
        <x:v>1</x:v>
      </x:c>
      <x:c r="J228" s="42" t="n">
        <x:v>45</x:v>
      </x:c>
      <x:c r="K228" s="42" t="n">
        <x:v>60</x:v>
      </x:c>
      <x:c r="L228" s="42" t="n">
        <x:v>30</x:v>
      </x:c>
      <x:c r="M228" s="42" t="n">
        <x:v>80</x:v>
      </x:c>
      <x:c r="N228" s="42" t="n">
        <x:v>50</x:v>
      </x:c>
      <x:c r="O228" s="42" t="n">
        <x:v>65</x:v>
      </x:c>
      <x:c r="P228" s="43" t="n">
        <x:f>IF(COUNT(J228:O228)=0,"",SUM(J228:O228))</x:f>
        <x:v>330</x:v>
      </x:c>
      <x:c r="Q228" s="23" t="str">
        <x:v>4 lignes de spawn</x:v>
      </x:c>
      <x:c r="R228" s="23" t="str">
        <x:v>Les Malosse chassent en meute organisée. Ils communiquent grâce à diverses vocalisations pour encercler leurs proies. Leur travail d'équipe est remarquable.</x:v>
      </x:c>
      <x:c r="S228" s="23" t="str"/>
      <x:c r="T228" s="23" t="str">
        <x:v>https://pixelmonmod.com/wiki/Houndour</x:v>
      </x:c>
    </x:row>
    <x:row r="229" ht="54" customHeight="1">
      <x:c r="A229" s="27" t="n">
        <x:v>229</x:v>
      </x:c>
      <x:c r="B229" s="23" t="str">
        <x:v>Démolosse</x:v>
      </x:c>
      <x:c r="C229" s="23" t="str">
        <x:v>Houndoom</x:v>
      </x:c>
      <x:c r="D229" s="23" t="str">
        <x:v>Ténèbres</x:v>
      </x:c>
      <x:c r="E229" s="23" t="str">
        <x:v>Feu</x:v>
      </x:c>
      <x:c r="F229" s="23" t="str">
        <x:v>Ultra Rare</x:v>
      </x:c>
      <x:c r="G229" s="45" t="n">
        <x:v>75000</x:v>
      </x:c>
      <x:c r="H229" s="45" t="n">
        <x:f>IF(G229="","",ROUNDUP(G229*3,0))</x:f>
        <x:v>225000</x:v>
      </x:c>
      <x:c r="I229" s="41" t="n">
        <x:v>0.889</x:v>
      </x:c>
      <x:c r="J229" s="42" t="n">
        <x:v>75</x:v>
      </x:c>
      <x:c r="K229" s="42" t="n">
        <x:v>90</x:v>
      </x:c>
      <x:c r="L229" s="42" t="n">
        <x:v>50</x:v>
      </x:c>
      <x:c r="M229" s="42" t="n">
        <x:v>110</x:v>
      </x:c>
      <x:c r="N229" s="42" t="n">
        <x:v>80</x:v>
      </x:c>
      <x:c r="O229" s="42" t="n">
        <x:v>95</x:v>
      </x:c>
      <x:c r="P229" s="43" t="n">
        <x:f>IF(COUNT(J229:O229)=0,"",SUM(J229:O229))</x:f>
        <x:v>500</x:v>
      </x:c>
      <x:c r="Q229" s="23" t="str">
        <x:v>9 lignes de spawn</x:v>
      </x:c>
      <x:c r="R229" s="23" t="str">
        <x:v>Dans une meute de Démolosse, celui dont les cornes sont recourbées vers l'arrière assume le rôle de chef. Ils choisissent leur leader en se battant entre eux.</x:v>
      </x:c>
      <x:c r="S229" s="23" t="str"/>
      <x:c r="T229" s="23" t="str">
        <x:v>https://pixelmonmod.com/wiki/Houndoom</x:v>
      </x:c>
    </x:row>
    <x:row r="230" ht="54" customHeight="1">
      <x:c r="A230" s="27" t="n">
        <x:v>230</x:v>
      </x:c>
      <x:c r="B230" s="23" t="str">
        <x:v>Hyporoi</x:v>
      </x:c>
      <x:c r="C230" s="23" t="str">
        <x:v>Kingdra</x:v>
      </x:c>
      <x:c r="D230" s="23" t="str">
        <x:v>Eau</x:v>
      </x:c>
      <x:c r="E230" s="23" t="str">
        <x:v>Dragon</x:v>
      </x:c>
      <x:c r="F230" s="23" t="str">
        <x:v>Ultra Rare</x:v>
      </x:c>
      <x:c r="G230" s="45" t="n">
        <x:v>75000</x:v>
      </x:c>
      <x:c r="H230" s="45" t="n">
        <x:f>IF(G230="","",ROUNDUP(G230*3,0))</x:f>
        <x:v>225000</x:v>
      </x:c>
      <x:c r="I230" s="41" t="n">
        <x:v>1</x:v>
      </x:c>
      <x:c r="J230" s="42" t="n">
        <x:v>75</x:v>
      </x:c>
      <x:c r="K230" s="42" t="n">
        <x:v>95</x:v>
      </x:c>
      <x:c r="L230" s="42" t="n">
        <x:v>95</x:v>
      </x:c>
      <x:c r="M230" s="42" t="n">
        <x:v>95</x:v>
      </x:c>
      <x:c r="N230" s="42" t="n">
        <x:v>95</x:v>
      </x:c>
      <x:c r="O230" s="42" t="n">
        <x:v>85</x:v>
      </x:c>
      <x:c r="P230" s="43" t="n">
        <x:f>IF(COUNT(J230:O230)=0,"",SUM(J230:O230))</x:f>
        <x:v>540</x:v>
      </x:c>
      <x:c r="Q230" s="23" t="str">
        <x:v>8 lignes de spawn</x:v>
      </x:c>
      <x:c r="R230" s="23" t="str">
        <x:v>Hyporoi vit dans les profondeurs océaniques les plus abyssales. On pense depuis longtemps que son bâillement crée des courants marins en spirale.</x:v>
      </x:c>
      <x:c r="S230" s="23" t="str"/>
      <x:c r="T230" s="23" t="str">
        <x:v>https://pixelmonmod.com/wiki/Kingdra</x:v>
      </x:c>
    </x:row>
    <x:row r="231" ht="54" customHeight="1">
      <x:c r="A231" s="27" t="n">
        <x:v>231</x:v>
      </x:c>
      <x:c r="B231" s="23" t="str">
        <x:v>Phanpy</x:v>
      </x:c>
      <x:c r="C231" s="23" t="str">
        <x:v>Phanpy</x:v>
      </x:c>
      <x:c r="D231" s="23" t="str">
        <x:v>Sol</x:v>
      </x:c>
      <x:c r="E231" s="23" t="str"/>
      <x:c r="F231" s="23" t="str">
        <x:v>Uncommon</x:v>
      </x:c>
      <x:c r="G231" s="45" t="n">
        <x:v>5000</x:v>
      </x:c>
      <x:c r="H231" s="45" t="n">
        <x:f>IF(G231="","",ROUNDUP(G231*3,0))</x:f>
        <x:v>15000</x:v>
      </x:c>
      <x:c r="I231" s="41" t="n">
        <x:v>1</x:v>
      </x:c>
      <x:c r="J231" s="42" t="n">
        <x:v>90</x:v>
      </x:c>
      <x:c r="K231" s="42" t="n">
        <x:v>60</x:v>
      </x:c>
      <x:c r="L231" s="42" t="n">
        <x:v>60</x:v>
      </x:c>
      <x:c r="M231" s="42" t="n">
        <x:v>40</x:v>
      </x:c>
      <x:c r="N231" s="42" t="n">
        <x:v>40</x:v>
      </x:c>
      <x:c r="O231" s="42" t="n">
        <x:v>40</x:v>
      </x:c>
      <x:c r="P231" s="43" t="n">
        <x:f>IF(COUNT(J231:O231)=0,"",SUM(J231:O231))</x:f>
        <x:v>330</x:v>
      </x:c>
      <x:c r="Q231" s="23" t="str">
        <x:v>6 lignes de spawn</x:v>
      </x:c>
      <x:c r="R231" s="23" t="str">
        <x:v>Pour son nid, Phanpy creuse un puits vertical dans le sol au bord d'une rivière. Il marque la zone autour de son nid avec sa trompe pour signaler que le territoire est occupé.</x:v>
      </x:c>
      <x:c r="S231" s="23" t="str"/>
      <x:c r="T231" s="23" t="str">
        <x:v>https://pixelmonmod.com/wiki/Phanpy</x:v>
      </x:c>
    </x:row>
    <x:row r="232" ht="54" customHeight="1">
      <x:c r="A232" s="27" t="n">
        <x:v>232</x:v>
      </x:c>
      <x:c r="B232" s="23" t="str">
        <x:v>Donphan</x:v>
      </x:c>
      <x:c r="C232" s="23" t="str">
        <x:v>Donphan</x:v>
      </x:c>
      <x:c r="D232" s="23" t="str">
        <x:v>Sol</x:v>
      </x:c>
      <x:c r="E232" s="23" t="str"/>
      <x:c r="F232" s="23" t="str">
        <x:v>Very Rare / Ultra Rare</x:v>
      </x:c>
      <x:c r="G232" s="45" t="n">
        <x:v>75000</x:v>
      </x:c>
      <x:c r="H232" s="45" t="n">
        <x:f>IF(G232="","",ROUNDUP(G232*3,0))</x:f>
        <x:v>225000</x:v>
      </x:c>
      <x:c r="I232" s="41" t="n">
        <x:v>0.5</x:v>
      </x:c>
      <x:c r="J232" s="42" t="n">
        <x:v>90</x:v>
      </x:c>
      <x:c r="K232" s="42" t="n">
        <x:v>120</x:v>
      </x:c>
      <x:c r="L232" s="42" t="n">
        <x:v>120</x:v>
      </x:c>
      <x:c r="M232" s="42" t="n">
        <x:v>60</x:v>
      </x:c>
      <x:c r="N232" s="42" t="n">
        <x:v>60</x:v>
      </x:c>
      <x:c r="O232" s="42" t="n">
        <x:v>50</x:v>
      </x:c>
      <x:c r="P232" s="43" t="n">
        <x:f>IF(COUNT(J232:O232)=0,"",SUM(J232:O232))</x:f>
        <x:v>500</x:v>
      </x:c>
      <x:c r="Q232" s="23" t="str">
        <x:v>6 lignes de spawn</x:v>
      </x:c>
      <x:c r="R232" s="23" t="str">
        <x:v>L'attaque favorite de Donphan consiste à se rouler en boule puis foncer à toute vitesse sur son adversaire. Une fois lancé, il est difficile de l'arrêter.</x:v>
      </x:c>
      <x:c r="S232" s="23" t="str">
        <x:v>Égalité de fréquence; prix provisoire basé sur le palier le plus élevé. Very Rare aligné sur le palier Super Rare (provisoire).</x:v>
      </x:c>
      <x:c r="T232" s="23" t="str">
        <x:v>https://pixelmonmod.com/wiki/Donphan</x:v>
      </x:c>
    </x:row>
    <x:row r="233" ht="54" customHeight="1">
      <x:c r="A233" s="27" t="n">
        <x:v>233</x:v>
      </x:c>
      <x:c r="B233" s="23" t="str">
        <x:v>Porygon2</x:v>
      </x:c>
      <x:c r="C233" s="23" t="str">
        <x:v>Porygon2</x:v>
      </x:c>
      <x:c r="D233" s="23" t="str">
        <x:v>Normal</x:v>
      </x:c>
      <x:c r="E233" s="23" t="str"/>
      <x:c r="F233" s="23" t="str">
        <x:v>Ultra Rare</x:v>
      </x:c>
      <x:c r="G233" s="45" t="n">
        <x:v>75000</x:v>
      </x:c>
      <x:c r="H233" s="45" t="n">
        <x:f>IF(G233="","",ROUNDUP(G233*3,0))</x:f>
        <x:v>225000</x:v>
      </x:c>
      <x:c r="I233" s="41" t="n">
        <x:v>1</x:v>
      </x:c>
      <x:c r="J233" s="42" t="n">
        <x:v>85</x:v>
      </x:c>
      <x:c r="K233" s="42" t="n">
        <x:v>80</x:v>
      </x:c>
      <x:c r="L233" s="42" t="n">
        <x:v>90</x:v>
      </x:c>
      <x:c r="M233" s="42" t="n">
        <x:v>105</x:v>
      </x:c>
      <x:c r="N233" s="42" t="n">
        <x:v>95</x:v>
      </x:c>
      <x:c r="O233" s="42" t="n">
        <x:v>60</x:v>
      </x:c>
      <x:c r="P233" s="43" t="n">
        <x:f>IF(COUNT(J233:O233)=0,"",SUM(J233:O233))</x:f>
        <x:v>515</x:v>
      </x:c>
      <x:c r="Q233" s="23" t="str">
        <x:v>2 lignes de spawn</x:v>
      </x:c>
      <x:c r="R233" s="23" t="str">
        <x:v>Porygon2 a été créé par les humains grâce au pouvoir de la science. Ce Pokémon artificiel possède une intelligence artificielle lui permettant d'apprendre de nouveaux gestes et émotions par lui-même.</x:v>
      </x:c>
      <x:c r="S233" s="23" t="str"/>
      <x:c r="T233" s="23" t="str">
        <x:v>https://pixelmonmod.com/wiki/Porygon2</x:v>
      </x:c>
    </x:row>
    <x:row r="234" ht="54" customHeight="1">
      <x:c r="A234" s="27" t="n">
        <x:v>234</x:v>
      </x:c>
      <x:c r="B234" s="23" t="str">
        <x:v>Cerfrousse</x:v>
      </x:c>
      <x:c r="C234" s="23" t="str">
        <x:v>Stantler</x:v>
      </x:c>
      <x:c r="D234" s="23" t="str">
        <x:v>Normal</x:v>
      </x:c>
      <x:c r="E234" s="23" t="str"/>
      <x:c r="F234" s="23" t="str">
        <x:v>Uncommon</x:v>
      </x:c>
      <x:c r="G234" s="45" t="n">
        <x:v>5000</x:v>
      </x:c>
      <x:c r="H234" s="45" t="n">
        <x:f>IF(G234="","",ROUNDUP(G234*3,0))</x:f>
        <x:v>15000</x:v>
      </x:c>
      <x:c r="I234" s="41" t="n">
        <x:v>1</x:v>
      </x:c>
      <x:c r="J234" s="42" t="n">
        <x:v>73</x:v>
      </x:c>
      <x:c r="K234" s="42" t="n">
        <x:v>95</x:v>
      </x:c>
      <x:c r="L234" s="42" t="n">
        <x:v>62</x:v>
      </x:c>
      <x:c r="M234" s="42" t="n">
        <x:v>85</x:v>
      </x:c>
      <x:c r="N234" s="42" t="n">
        <x:v>65</x:v>
      </x:c>
      <x:c r="O234" s="42" t="n">
        <x:v>85</x:v>
      </x:c>
      <x:c r="P234" s="43" t="n">
        <x:f>IF(COUNT(J234:O234)=0,"",SUM(J234:O234))</x:f>
        <x:v>465</x:v>
      </x:c>
      <x:c r="Q234" s="23" t="str">
        <x:v>5 lignes de spawn</x:v>
      </x:c>
      <x:c r="R234" s="23" t="str">
        <x:v>Les majestueux bois de Cerfrousse étaient autrefois échangés à prix d'or comme des œuvres d'art. En conséquence, ce Pokémon a été chassé jusqu'à frôler l'extinction par ceux qui convoitaient ses bois inestimables.</x:v>
      </x:c>
      <x:c r="S234" s="23" t="str"/>
      <x:c r="T234" s="23" t="str">
        <x:v>https://pixelmonmod.com/wiki/Stantler</x:v>
      </x:c>
    </x:row>
    <x:row r="235" ht="54" customHeight="1">
      <x:c r="A235" s="27" t="n">
        <x:v>235</x:v>
      </x:c>
      <x:c r="B235" s="23" t="str">
        <x:v>Queulorior</x:v>
      </x:c>
      <x:c r="C235" s="23" t="str">
        <x:v>Smeargle</x:v>
      </x:c>
      <x:c r="D235" s="23" t="str">
        <x:v>Normal</x:v>
      </x:c>
      <x:c r="E235" s="23" t="str"/>
      <x:c r="F235" s="23" t="str">
        <x:v>Ultra Rare</x:v>
      </x:c>
      <x:c r="G235" s="45" t="n">
        <x:v>75000</x:v>
      </x:c>
      <x:c r="H235" s="45" t="n">
        <x:f>IF(G235="","",ROUNDUP(G235*3,0))</x:f>
        <x:v>225000</x:v>
      </x:c>
      <x:c r="I235" s="41" t="n">
        <x:v>1</x:v>
      </x:c>
      <x:c r="J235" s="42" t="n">
        <x:v>55</x:v>
      </x:c>
      <x:c r="K235" s="42" t="n">
        <x:v>20</x:v>
      </x:c>
      <x:c r="L235" s="42" t="n">
        <x:v>35</x:v>
      </x:c>
      <x:c r="M235" s="42" t="n">
        <x:v>20</x:v>
      </x:c>
      <x:c r="N235" s="42" t="n">
        <x:v>45</x:v>
      </x:c>
      <x:c r="O235" s="42" t="n">
        <x:v>75</x:v>
      </x:c>
      <x:c r="P235" s="43" t="n">
        <x:f>IF(COUNT(J235:O235)=0,"",SUM(J235:O235))</x:f>
        <x:v>250</x:v>
      </x:c>
      <x:c r="Q235" s="23" t="str">
        <x:v>1 lignes de spawn</x:v>
      </x:c>
      <x:c r="R235" s="23" t="str">
        <x:v>Queulorior marque son territoire avec un fluide sécrété par la pointe de sa queue. Plus de 5 000 motifs différents ont été recensés.</x:v>
      </x:c>
      <x:c r="S235" s="23" t="str"/>
      <x:c r="T235" s="23" t="str">
        <x:v>https://pixelmonmod.com/wiki/Smeargle</x:v>
      </x:c>
    </x:row>
    <x:row r="236" ht="54" customHeight="1">
      <x:c r="A236" s="27" t="n">
        <x:v>236</x:v>
      </x:c>
      <x:c r="B236" s="23" t="str">
        <x:v>Debugant</x:v>
      </x:c>
      <x:c r="C236" s="23" t="str">
        <x:v>Tyrogue</x:v>
      </x:c>
      <x:c r="D236" s="23" t="str">
        <x:v>Combat</x:v>
      </x:c>
      <x:c r="E236" s="23" t="str"/>
      <x:c r="F236" s="23" t="str">
        <x:v>Non classé</x:v>
      </x:c>
      <x:c r="G236" s="45"/>
      <x:c r="H236" s="45" t="str">
        <x:f>IF(G236="","",ROUNDUP(G236*3,0))</x:f>
      </x:c>
      <x:c r="I236" s="41"/>
      <x:c r="J236" s="42" t="n">
        <x:v>35</x:v>
      </x:c>
      <x:c r="K236" s="42" t="n">
        <x:v>35</x:v>
      </x:c>
      <x:c r="L236" s="42" t="n">
        <x:v>35</x:v>
      </x:c>
      <x:c r="M236" s="42" t="n">
        <x:v>35</x:v>
      </x:c>
      <x:c r="N236" s="42" t="n">
        <x:v>35</x:v>
      </x:c>
      <x:c r="O236" s="42" t="n">
        <x:v>35</x:v>
      </x:c>
      <x:c r="P236" s="43" t="n">
        <x:f>IF(COUNT(J236:O236)=0,"",SUM(J236:O236))</x:f>
        <x:v>210</x:v>
      </x:c>
      <x:c r="Q236" s="23" t="str">
        <x:v>Aucune ligne classée</x:v>
      </x:c>
      <x:c r="R236" s="23" t="str">
        <x:v>Debugant devient stressé s'il ne s'entraîne pas chaque jour. Pour l'élever, le Dresseur doit établir et maintenir divers régimes d'entraînement.</x:v>
      </x:c>
      <x:c r="S236" s="23" t="str">
        <x:v>Aucune rareté wiki exploitable; prix à fixer.</x:v>
      </x:c>
      <x:c r="T236" s="23" t="str">
        <x:v>https://pixelmonmod.com/wiki/Tyrogue</x:v>
      </x:c>
    </x:row>
    <x:row r="237" ht="54" customHeight="1">
      <x:c r="A237" s="27" t="n">
        <x:v>237</x:v>
      </x:c>
      <x:c r="B237" s="23" t="str">
        <x:v>Kapoera</x:v>
      </x:c>
      <x:c r="C237" s="23" t="str">
        <x:v>Hitmontop</x:v>
      </x:c>
      <x:c r="D237" s="23" t="str">
        <x:v>Combat</x:v>
      </x:c>
      <x:c r="E237" s="23" t="str"/>
      <x:c r="F237" s="23" t="str">
        <x:v>Ultra Rare</x:v>
      </x:c>
      <x:c r="G237" s="45" t="n">
        <x:v>75000</x:v>
      </x:c>
      <x:c r="H237" s="45" t="n">
        <x:f>IF(G237="","",ROUNDUP(G237*3,0))</x:f>
        <x:v>225000</x:v>
      </x:c>
      <x:c r="I237" s="41" t="n">
        <x:v>1</x:v>
      </x:c>
      <x:c r="J237" s="42" t="n">
        <x:v>50</x:v>
      </x:c>
      <x:c r="K237" s="42" t="n">
        <x:v>95</x:v>
      </x:c>
      <x:c r="L237" s="42" t="n">
        <x:v>95</x:v>
      </x:c>
      <x:c r="M237" s="42" t="n">
        <x:v>35</x:v>
      </x:c>
      <x:c r="N237" s="42" t="n">
        <x:v>110</x:v>
      </x:c>
      <x:c r="O237" s="42" t="n">
        <x:v>70</x:v>
      </x:c>
      <x:c r="P237" s="43" t="n">
        <x:f>IF(COUNT(J237:O237)=0,"",SUM(J237:O237))</x:f>
        <x:v>455</x:v>
      </x:c>
      <x:c r="Q237" s="23" t="str">
        <x:v>1 lignes de spawn</x:v>
      </x:c>
      <x:c r="R237" s="23" t="str">
        <x:v>Kapoera tourne sur sa tête à grande vitesse tout en donnant des coups de pied. C'est un mélange remarquable d'attaque et de défense. Il se déplace plus vite en tournant qu'en marchant.</x:v>
      </x:c>
      <x:c r="S237" s="23" t="str"/>
      <x:c r="T237" s="23" t="str">
        <x:v>https://pixelmonmod.com/wiki/Hitmontop</x:v>
      </x:c>
    </x:row>
    <x:row r="238" ht="54" customHeight="1">
      <x:c r="A238" s="27" t="n">
        <x:v>238</x:v>
      </x:c>
      <x:c r="B238" s="23" t="str">
        <x:v>Lippouti</x:v>
      </x:c>
      <x:c r="C238" s="23" t="str">
        <x:v>Smoochum</x:v>
      </x:c>
      <x:c r="D238" s="23" t="str">
        <x:v>Glace</x:v>
      </x:c>
      <x:c r="E238" s="23" t="str">
        <x:v>Psy</x:v>
      </x:c>
      <x:c r="F238" s="23" t="str">
        <x:v>Non classé</x:v>
      </x:c>
      <x:c r="G238" s="45"/>
      <x:c r="H238" s="45" t="str">
        <x:f>IF(G238="","",ROUNDUP(G238*3,0))</x:f>
      </x:c>
      <x:c r="I238" s="41"/>
      <x:c r="J238" s="42" t="n">
        <x:v>45</x:v>
      </x:c>
      <x:c r="K238" s="42" t="n">
        <x:v>30</x:v>
      </x:c>
      <x:c r="L238" s="42" t="n">
        <x:v>15</x:v>
      </x:c>
      <x:c r="M238" s="42" t="n">
        <x:v>85</x:v>
      </x:c>
      <x:c r="N238" s="42" t="n">
        <x:v>65</x:v>
      </x:c>
      <x:c r="O238" s="42" t="n">
        <x:v>65</x:v>
      </x:c>
      <x:c r="P238" s="43" t="n">
        <x:f>IF(COUNT(J238:O238)=0,"",SUM(J238:O238))</x:f>
        <x:v>305</x:v>
      </x:c>
      <x:c r="Q238" s="23" t="str">
        <x:v>Aucune ligne classée</x:v>
      </x:c>
      <x:c r="R238" s="23" t="str">
        <x:v>Lippouti court beaucoup mais trébuche aussi très souvent. Dès qu'il en a l'occasion, il vérifie son reflet pour s'assurer que son visage n'est pas sale.</x:v>
      </x:c>
      <x:c r="S238" s="23" t="str">
        <x:v>Aucune rareté wiki exploitable; prix à fixer.</x:v>
      </x:c>
      <x:c r="T238" s="23" t="str">
        <x:v>https://pixelmonmod.com/wiki/Smoochum</x:v>
      </x:c>
    </x:row>
    <x:row r="239" ht="54" customHeight="1">
      <x:c r="A239" s="27" t="n">
        <x:v>239</x:v>
      </x:c>
      <x:c r="B239" s="23" t="str">
        <x:v>Élekid</x:v>
      </x:c>
      <x:c r="C239" s="23" t="str">
        <x:v>Elekid</x:v>
      </x:c>
      <x:c r="D239" s="23" t="str">
        <x:v>Électrik</x:v>
      </x:c>
      <x:c r="E239" s="23" t="str"/>
      <x:c r="F239" s="23" t="str">
        <x:v>Rare</x:v>
      </x:c>
      <x:c r="G239" s="45" t="n">
        <x:v>12000</x:v>
      </x:c>
      <x:c r="H239" s="45" t="n">
        <x:f>IF(G239="","",ROUNDUP(G239*3,0))</x:f>
        <x:v>36000</x:v>
      </x:c>
      <x:c r="I239" s="41" t="n">
        <x:v>1</x:v>
      </x:c>
      <x:c r="J239" s="42" t="n">
        <x:v>45</x:v>
      </x:c>
      <x:c r="K239" s="42" t="n">
        <x:v>63</x:v>
      </x:c>
      <x:c r="L239" s="42" t="n">
        <x:v>37</x:v>
      </x:c>
      <x:c r="M239" s="42" t="n">
        <x:v>65</x:v>
      </x:c>
      <x:c r="N239" s="42" t="n">
        <x:v>55</x:v>
      </x:c>
      <x:c r="O239" s="42" t="n">
        <x:v>95</x:v>
      </x:c>
      <x:c r="P239" s="43" t="n">
        <x:f>IF(COUNT(J239:O239)=0,"",SUM(J239:O239))</x:f>
        <x:v>360</x:v>
      </x:c>
      <x:c r="Q239" s="23" t="str">
        <x:v>1 lignes de spawn</x:v>
      </x:c>
      <x:c r="R239" s="23" t="str">
        <x:v>Élekid emmagasine l'électricité dans son corps. S'il touche du métal et libère accidentellement toute son énergie, il fait tourner ses bras en moulinet pour se recharger.</x:v>
      </x:c>
      <x:c r="S239" s="23" t="str"/>
      <x:c r="T239" s="23" t="str">
        <x:v>https://pixelmonmod.com/wiki/Elekid</x:v>
      </x:c>
    </x:row>
    <x:row r="240" ht="54" customHeight="1">
      <x:c r="A240" s="27" t="n">
        <x:v>240</x:v>
      </x:c>
      <x:c r="B240" s="23" t="str">
        <x:v>Magby</x:v>
      </x:c>
      <x:c r="C240" s="23" t="str">
        <x:v>Magby</x:v>
      </x:c>
      <x:c r="D240" s="23" t="str">
        <x:v>Feu</x:v>
      </x:c>
      <x:c r="E240" s="23" t="str"/>
      <x:c r="F240" s="23" t="str">
        <x:v>Ultra Rare</x:v>
      </x:c>
      <x:c r="G240" s="45" t="n">
        <x:v>75000</x:v>
      </x:c>
      <x:c r="H240" s="45" t="n">
        <x:f>IF(G240="","",ROUNDUP(G240*3,0))</x:f>
        <x:v>225000</x:v>
      </x:c>
      <x:c r="I240" s="41" t="n">
        <x:v>0.5710000000000001</x:v>
      </x:c>
      <x:c r="J240" s="42" t="n">
        <x:v>45</x:v>
      </x:c>
      <x:c r="K240" s="42" t="n">
        <x:v>75</x:v>
      </x:c>
      <x:c r="L240" s="42" t="n">
        <x:v>37</x:v>
      </x:c>
      <x:c r="M240" s="42" t="n">
        <x:v>70</x:v>
      </x:c>
      <x:c r="N240" s="42" t="n">
        <x:v>55</x:v>
      </x:c>
      <x:c r="O240" s="42" t="n">
        <x:v>83</x:v>
      </x:c>
      <x:c r="P240" s="43" t="n">
        <x:f>IF(COUNT(J240:O240)=0,"",SUM(J240:O240))</x:f>
        <x:v>365</x:v>
      </x:c>
      <x:c r="Q240" s="23" t="str">
        <x:v>7 lignes de spawn</x:v>
      </x:c>
      <x:c r="R240" s="23" t="str">
        <x:v>L'état de santé de Magby se détermine en observant le feu qu'il exhale. S'il crache des flammes jaunes, il est en bonne santé. Lorsqu'il est fatigué, de la fumée noire se mêle aux flammes.</x:v>
      </x:c>
      <x:c r="S240" s="23" t="str"/>
      <x:c r="T240" s="23" t="str">
        <x:v>https://pixelmonmod.com/wiki/Magby</x:v>
      </x:c>
    </x:row>
    <x:row r="241" ht="54" customHeight="1">
      <x:c r="A241" s="27" t="n">
        <x:v>241</x:v>
      </x:c>
      <x:c r="B241" s="23" t="str">
        <x:v>Écrémeuh</x:v>
      </x:c>
      <x:c r="C241" s="23" t="str">
        <x:v>Miltank</x:v>
      </x:c>
      <x:c r="D241" s="23" t="str">
        <x:v>Normal</x:v>
      </x:c>
      <x:c r="E241" s="23" t="str"/>
      <x:c r="F241" s="23" t="str">
        <x:v>Uncommon</x:v>
      </x:c>
      <x:c r="G241" s="45" t="n">
        <x:v>5000</x:v>
      </x:c>
      <x:c r="H241" s="45" t="n">
        <x:f>IF(G241="","",ROUNDUP(G241*3,0))</x:f>
        <x:v>15000</x:v>
      </x:c>
      <x:c r="I241" s="41" t="n">
        <x:v>1</x:v>
      </x:c>
      <x:c r="J241" s="42" t="n">
        <x:v>95</x:v>
      </x:c>
      <x:c r="K241" s="42" t="n">
        <x:v>80</x:v>
      </x:c>
      <x:c r="L241" s="42" t="n">
        <x:v>105</x:v>
      </x:c>
      <x:c r="M241" s="42" t="n">
        <x:v>40</x:v>
      </x:c>
      <x:c r="N241" s="42" t="n">
        <x:v>70</x:v>
      </x:c>
      <x:c r="O241" s="42" t="n">
        <x:v>100</x:v>
      </x:c>
      <x:c r="P241" s="43" t="n">
        <x:f>IF(COUNT(J241:O241)=0,"",SUM(J241:O241))</x:f>
        <x:v>490</x:v>
      </x:c>
      <x:c r="Q241" s="23" t="str">
        <x:v>1 lignes de spawn</x:v>
      </x:c>
      <x:c r="R241" s="23" t="str">
        <x:v>Écrémeuh produit plus de cinq gallons de lait par jour. Son lait sucré est apprécié aussi bien des enfants que des adultes. Ceux qui ne peuvent pas le boire le transforment en yaourt pour le déguster autrement.</x:v>
      </x:c>
      <x:c r="S241" s="23" t="str"/>
      <x:c r="T241" s="23" t="str">
        <x:v>https://pixelmonmod.com/wiki/Miltank</x:v>
      </x:c>
    </x:row>
    <x:row r="242" ht="54" customHeight="1">
      <x:c r="A242" s="27" t="n">
        <x:v>242</x:v>
      </x:c>
      <x:c r="B242" s="23" t="str">
        <x:v>Leuphorie</x:v>
      </x:c>
      <x:c r="C242" s="23" t="str">
        <x:v>Blissey</x:v>
      </x:c>
      <x:c r="D242" s="23" t="str">
        <x:v>Normal</x:v>
      </x:c>
      <x:c r="E242" s="23" t="str"/>
      <x:c r="F242" s="23" t="str">
        <x:v>Ultra Rare</x:v>
      </x:c>
      <x:c r="G242" s="45" t="n">
        <x:v>75000</x:v>
      </x:c>
      <x:c r="H242" s="45" t="n">
        <x:f>IF(G242="","",ROUNDUP(G242*3,0))</x:f>
        <x:v>225000</x:v>
      </x:c>
      <x:c r="I242" s="41" t="n">
        <x:v>1</x:v>
      </x:c>
      <x:c r="J242" s="42" t="n">
        <x:v>255</x:v>
      </x:c>
      <x:c r="K242" s="42" t="n">
        <x:v>10</x:v>
      </x:c>
      <x:c r="L242" s="42" t="n">
        <x:v>10</x:v>
      </x:c>
      <x:c r="M242" s="42" t="n">
        <x:v>75</x:v>
      </x:c>
      <x:c r="N242" s="42" t="n">
        <x:v>135</x:v>
      </x:c>
      <x:c r="O242" s="42" t="n">
        <x:v>55</x:v>
      </x:c>
      <x:c r="P242" s="43" t="n">
        <x:f>IF(COUNT(J242:O242)=0,"",SUM(J242:O242))</x:f>
        <x:v>540</x:v>
      </x:c>
      <x:c r="Q242" s="23" t="str">
        <x:v>3 lignes de spawn</x:v>
      </x:c>
      <x:c r="R242" s="23" t="str">
        <x:v>Leuphorie perçoit la tristesse grâce à sa fourrure duveteuse. Si elle en ressent, ce Pokémon se précipitera vers la personne malheureuse, où qu'elle soit, pour lui offrir un Œuf Chance qui redonne le sourire.</x:v>
      </x:c>
      <x:c r="S242" s="23" t="str"/>
      <x:c r="T242" s="23" t="str">
        <x:v>https://pixelmonmod.com/wiki/Blissey</x:v>
      </x:c>
    </x:row>
    <x:row r="243" ht="54" customHeight="1">
      <x:c r="A243" s="27" t="n">
        <x:v>246</x:v>
      </x:c>
      <x:c r="B243" s="23" t="str">
        <x:v>Embrylex</x:v>
      </x:c>
      <x:c r="C243" s="23" t="str">
        <x:v>Larvitar</x:v>
      </x:c>
      <x:c r="D243" s="23" t="str">
        <x:v>Roche</x:v>
      </x:c>
      <x:c r="E243" s="23" t="str">
        <x:v>Sol</x:v>
      </x:c>
      <x:c r="F243" s="23" t="str">
        <x:v>Uncommon</x:v>
      </x:c>
      <x:c r="G243" s="45" t="n">
        <x:v>5000</x:v>
      </x:c>
      <x:c r="H243" s="45" t="n">
        <x:f>IF(G243="","",ROUNDUP(G243*3,0))</x:f>
        <x:v>15000</x:v>
      </x:c>
      <x:c r="I243" s="41" t="n">
        <x:v>0.75</x:v>
      </x:c>
      <x:c r="J243" s="42" t="n">
        <x:v>50</x:v>
      </x:c>
      <x:c r="K243" s="42" t="n">
        <x:v>64</x:v>
      </x:c>
      <x:c r="L243" s="42" t="n">
        <x:v>50</x:v>
      </x:c>
      <x:c r="M243" s="42" t="n">
        <x:v>45</x:v>
      </x:c>
      <x:c r="N243" s="42" t="n">
        <x:v>50</x:v>
      </x:c>
      <x:c r="O243" s="42" t="n">
        <x:v>41</x:v>
      </x:c>
      <x:c r="P243" s="43" t="n">
        <x:f>IF(COUNT(J243:O243)=0,"",SUM(J243:O243))</x:f>
        <x:v>300</x:v>
      </x:c>
      <x:c r="Q243" s="23" t="str">
        <x:v>4 lignes de spawn</x:v>
      </x:c>
      <x:c r="R243" s="23" t="str">
        <x:v>Embrylex naît sous terre, très profondément. Pour remonter à la surface, il doit manger la terre qui le recouvre. Tant qu'il n'y parvient pas, il ne peut pas voir ses parents.</x:v>
      </x:c>
      <x:c r="S243" s="23" t="str"/>
      <x:c r="T243" s="23" t="str">
        <x:v>https://pixelmonmod.com/wiki/Larvitar</x:v>
      </x:c>
    </x:row>
    <x:row r="244" ht="54" customHeight="1">
      <x:c r="A244" s="27" t="n">
        <x:v>247</x:v>
      </x:c>
      <x:c r="B244" s="23" t="str">
        <x:v>Pupitar</x:v>
      </x:c>
      <x:c r="C244" s="23" t="str">
        <x:v>Pupitar</x:v>
      </x:c>
      <x:c r="D244" s="23" t="str">
        <x:v>Roche</x:v>
      </x:c>
      <x:c r="E244" s="23" t="str">
        <x:v>Sol</x:v>
      </x:c>
      <x:c r="F244" s="23" t="str">
        <x:v>Ultra Rare</x:v>
      </x:c>
      <x:c r="G244" s="45" t="n">
        <x:v>75000</x:v>
      </x:c>
      <x:c r="H244" s="45" t="n">
        <x:f>IF(G244="","",ROUNDUP(G244*3,0))</x:f>
        <x:v>225000</x:v>
      </x:c>
      <x:c r="I244" s="41" t="n">
        <x:v>0.75</x:v>
      </x:c>
      <x:c r="J244" s="42" t="n">
        <x:v>70</x:v>
      </x:c>
      <x:c r="K244" s="42" t="n">
        <x:v>84</x:v>
      </x:c>
      <x:c r="L244" s="42" t="n">
        <x:v>70</x:v>
      </x:c>
      <x:c r="M244" s="42" t="n">
        <x:v>65</x:v>
      </x:c>
      <x:c r="N244" s="42" t="n">
        <x:v>70</x:v>
      </x:c>
      <x:c r="O244" s="42" t="n">
        <x:v>51</x:v>
      </x:c>
      <x:c r="P244" s="43" t="n">
        <x:f>IF(COUNT(J244:O244)=0,"",SUM(J244:O244))</x:f>
        <x:v>410</x:v>
      </x:c>
      <x:c r="Q244" s="23" t="str">
        <x:v>4 lignes de spawn</x:v>
      </x:c>
      <x:c r="R244" s="23" t="str">
        <x:v>Pupitar crée un gaz dans son corps qu'il comprime puis expulse violemment pour se propulser comme un jet. Son corps est très résistant : il ne subit aucun dégât même lorsqu'il percute de l'acier solide.</x:v>
      </x:c>
      <x:c r="S244" s="23" t="str"/>
      <x:c r="T244" s="23" t="str">
        <x:v>https://pixelmonmod.com/wiki/Pupitar</x:v>
      </x:c>
    </x:row>
    <x:row r="245" ht="54" customHeight="1">
      <x:c r="A245" s="27" t="n">
        <x:v>248</x:v>
      </x:c>
      <x:c r="B245" s="23" t="str">
        <x:v>Tyranocif</x:v>
      </x:c>
      <x:c r="C245" s="23" t="str">
        <x:v>Tyranitar</x:v>
      </x:c>
      <x:c r="D245" s="23" t="str">
        <x:v>Roche</x:v>
      </x:c>
      <x:c r="E245" s="23" t="str">
        <x:v>Ténèbres</x:v>
      </x:c>
      <x:c r="F245" s="23" t="str">
        <x:v>Ultra Rare</x:v>
      </x:c>
      <x:c r="G245" s="45" t="n">
        <x:v>75000</x:v>
      </x:c>
      <x:c r="H245" s="45" t="n">
        <x:f>IF(G245="","",ROUNDUP(G245*3,0))</x:f>
        <x:v>225000</x:v>
      </x:c>
      <x:c r="I245" s="41" t="n">
        <x:v>1</x:v>
      </x:c>
      <x:c r="J245" s="42" t="n">
        <x:v>100</x:v>
      </x:c>
      <x:c r="K245" s="42" t="n">
        <x:v>134</x:v>
      </x:c>
      <x:c r="L245" s="42" t="n">
        <x:v>110</x:v>
      </x:c>
      <x:c r="M245" s="42" t="n">
        <x:v>95</x:v>
      </x:c>
      <x:c r="N245" s="42" t="n">
        <x:v>100</x:v>
      </x:c>
      <x:c r="O245" s="42" t="n">
        <x:v>61</x:v>
      </x:c>
      <x:c r="P245" s="43" t="n">
        <x:f>IF(COUNT(J245:O245)=0,"",SUM(J245:O245))</x:f>
        <x:v>600</x:v>
      </x:c>
      <x:c r="Q245" s="23" t="str">
        <x:v>5 lignes de spawn</x:v>
      </x:c>
      <x:c r="R245" s="23" t="str">
        <x:v>Tyranocif est si puissamment destructeur qu'il peut abattre une montagne entière pour se faire un nid. Il erre dans les montagnes à la recherche de nouveaux adversaires.</x:v>
      </x:c>
      <x:c r="S245" s="23" t="str"/>
      <x:c r="T245" s="23" t="str">
        <x:v>https://pixelmonmod.com/wiki/Tyranitar</x:v>
      </x:c>
    </x:row>
    <x:row r="246" ht="54" customHeight="1">
      <x:c r="A246" s="27" t="n">
        <x:v>251</x:v>
      </x:c>
      <x:c r="B246" s="23" t="str">
        <x:v>Celebi</x:v>
      </x:c>
      <x:c r="C246" s="23" t="str">
        <x:v>Celebi</x:v>
      </x:c>
      <x:c r="D246" s="23" t="str">
        <x:v>Psy</x:v>
      </x:c>
      <x:c r="E246" s="23" t="str">
        <x:v>Plante</x:v>
      </x:c>
      <x:c r="F246" s="23" t="str">
        <x:v>Non classé</x:v>
      </x:c>
      <x:c r="G246" s="45"/>
      <x:c r="H246" s="45" t="str">
        <x:f>IF(G246="","",ROUNDUP(G246*3,0))</x:f>
      </x:c>
      <x:c r="I246" s="41"/>
      <x:c r="J246" s="42" t="n">
        <x:v>100</x:v>
      </x:c>
      <x:c r="K246" s="42" t="n">
        <x:v>100</x:v>
      </x:c>
      <x:c r="L246" s="42" t="n">
        <x:v>100</x:v>
      </x:c>
      <x:c r="M246" s="42" t="n">
        <x:v>100</x:v>
      </x:c>
      <x:c r="N246" s="42" t="n">
        <x:v>100</x:v>
      </x:c>
      <x:c r="O246" s="42" t="n">
        <x:v>100</x:v>
      </x:c>
      <x:c r="P246" s="43" t="n">
        <x:f>IF(COUNT(J246:O246)=0,"",SUM(J246:O246))</x:f>
        <x:v>600</x:v>
      </x:c>
      <x:c r="Q246" s="23" t="str">
        <x:v>Aucune ligne classée</x:v>
      </x:c>
      <x:c r="R246" s="23" t="str">
        <x:v>Ce Pokémon vient du futur en traversant le temps. On pense que tant que Celebi apparaît, un avenir radieux nous attend.</x:v>
      </x:c>
      <x:c r="S246" s="23" t="str">
        <x:v>Fabuleux : vente et prix à valider.</x:v>
      </x:c>
      <x:c r="T246" s="23" t="str">
        <x:v>https://pixelmonmod.com/wiki/Celebi</x:v>
      </x:c>
    </x:row>
    <x:row r="247" ht="54" customHeight="1">
      <x:c r="A247" s="27" t="n">
        <x:v>252</x:v>
      </x:c>
      <x:c r="B247" s="23" t="str">
        <x:v>Arcko</x:v>
      </x:c>
      <x:c r="C247" s="23" t="str">
        <x:v>Treecko</x:v>
      </x:c>
      <x:c r="D247" s="23" t="str">
        <x:v>Plante</x:v>
      </x:c>
      <x:c r="E247" s="23" t="str"/>
      <x:c r="F247" s="23" t="str">
        <x:v>Ultra Rare</x:v>
      </x:c>
      <x:c r="G247" s="45" t="n">
        <x:v>75000</x:v>
      </x:c>
      <x:c r="H247" s="45" t="n">
        <x:f>IF(G247="","",ROUNDUP(G247*3,0))</x:f>
        <x:v>225000</x:v>
      </x:c>
      <x:c r="I247" s="41" t="n">
        <x:v>1</x:v>
      </x:c>
      <x:c r="J247" s="42" t="n">
        <x:v>40</x:v>
      </x:c>
      <x:c r="K247" s="42" t="n">
        <x:v>45</x:v>
      </x:c>
      <x:c r="L247" s="42" t="n">
        <x:v>35</x:v>
      </x:c>
      <x:c r="M247" s="42" t="n">
        <x:v>65</x:v>
      </x:c>
      <x:c r="N247" s="42" t="n">
        <x:v>55</x:v>
      </x:c>
      <x:c r="O247" s="42" t="n">
        <x:v>70</x:v>
      </x:c>
      <x:c r="P247" s="43" t="n">
        <x:f>IF(COUNT(J247:O247)=0,"",SUM(J247:O247))</x:f>
        <x:v>310</x:v>
      </x:c>
      <x:c r="Q247" s="23" t="str">
        <x:v>2 lignes de spawn</x:v>
      </x:c>
      <x:c r="R247" s="23" t="str">
        <x:v>Arcko possède de petits crochets sous les pieds qui lui permettent d'escalader les murs verticaux. Il attaque en frappant ses ennemis avec sa queue épaisse.</x:v>
      </x:c>
      <x:c r="S247" s="23" t="str"/>
      <x:c r="T247" s="23" t="str">
        <x:v>https://pixelmonmod.com/wiki/Treecko</x:v>
      </x:c>
    </x:row>
    <x:row r="248" ht="54" customHeight="1">
      <x:c r="A248" s="27" t="n">
        <x:v>253</x:v>
      </x:c>
      <x:c r="B248" s="23" t="str">
        <x:v>Massko</x:v>
      </x:c>
      <x:c r="C248" s="23" t="str">
        <x:v>Grovyle</x:v>
      </x:c>
      <x:c r="D248" s="23" t="str">
        <x:v>Plante</x:v>
      </x:c>
      <x:c r="E248" s="23" t="str"/>
      <x:c r="F248" s="23" t="str">
        <x:v>Ultra Rare</x:v>
      </x:c>
      <x:c r="G248" s="45" t="n">
        <x:v>75000</x:v>
      </x:c>
      <x:c r="H248" s="45" t="n">
        <x:f>IF(G248="","",ROUNDUP(G248*3,0))</x:f>
        <x:v>225000</x:v>
      </x:c>
      <x:c r="I248" s="41" t="n">
        <x:v>1</x:v>
      </x:c>
      <x:c r="J248" s="42" t="n">
        <x:v>50</x:v>
      </x:c>
      <x:c r="K248" s="42" t="n">
        <x:v>65</x:v>
      </x:c>
      <x:c r="L248" s="42" t="n">
        <x:v>45</x:v>
      </x:c>
      <x:c r="M248" s="42" t="n">
        <x:v>85</x:v>
      </x:c>
      <x:c r="N248" s="42" t="n">
        <x:v>65</x:v>
      </x:c>
      <x:c r="O248" s="42" t="n">
        <x:v>95</x:v>
      </x:c>
      <x:c r="P248" s="43" t="n">
        <x:f>IF(COUNT(J248:O248)=0,"",SUM(J248:O248))</x:f>
        <x:v>405</x:v>
      </x:c>
      <x:c r="Q248" s="23" t="str">
        <x:v>2 lignes de spawn</x:v>
      </x:c>
      <x:c r="R248" s="23" t="str">
        <x:v>Les feuilles poussant sur le corps de Massko lui servent à se camoufler dans la forêt. Ce Pokémon est un maître dans l'art de grimper aux arbres des jungles.</x:v>
      </x:c>
      <x:c r="S248" s="23" t="str"/>
      <x:c r="T248" s="23" t="str">
        <x:v>https://pixelmonmod.com/wiki/Grovyle</x:v>
      </x:c>
    </x:row>
    <x:row r="249" ht="54" customHeight="1">
      <x:c r="A249" s="27" t="n">
        <x:v>254</x:v>
      </x:c>
      <x:c r="B249" s="23" t="str">
        <x:v>Jungko</x:v>
      </x:c>
      <x:c r="C249" s="23" t="str">
        <x:v>Sceptile</x:v>
      </x:c>
      <x:c r="D249" s="23" t="str">
        <x:v>Plante</x:v>
      </x:c>
      <x:c r="E249" s="23" t="str"/>
      <x:c r="F249" s="23" t="str">
        <x:v>Ultra Rare</x:v>
      </x:c>
      <x:c r="G249" s="45" t="n">
        <x:v>75000</x:v>
      </x:c>
      <x:c r="H249" s="45" t="n">
        <x:f>IF(G249="","",ROUNDUP(G249*3,0))</x:f>
        <x:v>225000</x:v>
      </x:c>
      <x:c r="I249" s="41" t="n">
        <x:v>1</x:v>
      </x:c>
      <x:c r="J249" s="42" t="n">
        <x:v>70</x:v>
      </x:c>
      <x:c r="K249" s="42" t="n">
        <x:v>85</x:v>
      </x:c>
      <x:c r="L249" s="42" t="n">
        <x:v>65</x:v>
      </x:c>
      <x:c r="M249" s="42" t="n">
        <x:v>105</x:v>
      </x:c>
      <x:c r="N249" s="42" t="n">
        <x:v>85</x:v>
      </x:c>
      <x:c r="O249" s="42" t="n">
        <x:v>120</x:v>
      </x:c>
      <x:c r="P249" s="43" t="n">
        <x:f>IF(COUNT(J249:O249)=0,"",SUM(J249:O249))</x:f>
        <x:v>530</x:v>
      </x:c>
      <x:c r="Q249" s="23" t="str">
        <x:v>3 lignes de spawn</x:v>
      </x:c>
      <x:c r="R249" s="23" t="str">
        <x:v>Les feuilles qui poussent sur le corps de Jungko sont d'une extrême aiguisé. Très agile, ce Pokémon bondit de branche en branche pour fondre sur son adversaire depuis le dessus ou l'arrière.</x:v>
      </x:c>
      <x:c r="S249" s="23" t="str"/>
      <x:c r="T249" s="23" t="str">
        <x:v>https://pixelmonmod.com/wiki/Sceptile</x:v>
      </x:c>
    </x:row>
    <x:row r="250" ht="54" customHeight="1">
      <x:c r="A250" s="27" t="n">
        <x:v>255</x:v>
      </x:c>
      <x:c r="B250" s="23" t="str">
        <x:v>Poussifeu</x:v>
      </x:c>
      <x:c r="C250" s="23" t="str">
        <x:v>Torchic</x:v>
      </x:c>
      <x:c r="D250" s="23" t="str">
        <x:v>Feu</x:v>
      </x:c>
      <x:c r="E250" s="23" t="str"/>
      <x:c r="F250" s="23" t="str">
        <x:v>Ultra Rare</x:v>
      </x:c>
      <x:c r="G250" s="45" t="n">
        <x:v>75000</x:v>
      </x:c>
      <x:c r="H250" s="45" t="n">
        <x:f>IF(G250="","",ROUNDUP(G250*3,0))</x:f>
        <x:v>225000</x:v>
      </x:c>
      <x:c r="I250" s="41" t="n">
        <x:v>1</x:v>
      </x:c>
      <x:c r="J250" s="42" t="n">
        <x:v>45</x:v>
      </x:c>
      <x:c r="K250" s="42" t="n">
        <x:v>60</x:v>
      </x:c>
      <x:c r="L250" s="42" t="n">
        <x:v>40</x:v>
      </x:c>
      <x:c r="M250" s="42" t="n">
        <x:v>70</x:v>
      </x:c>
      <x:c r="N250" s="42" t="n">
        <x:v>50</x:v>
      </x:c>
      <x:c r="O250" s="42" t="n">
        <x:v>45</x:v>
      </x:c>
      <x:c r="P250" s="43" t="n">
        <x:f>IF(COUNT(J250:O250)=0,"",SUM(J250:O250))</x:f>
        <x:v>310</x:v>
      </x:c>
      <x:c r="Q250" s="23" t="str">
        <x:v>1 lignes de spawn</x:v>
      </x:c>
      <x:c r="R250" s="23" t="str">
        <x:v>Poussifeu reste collé à son Dresseur et le suit de ses pas maladroits. Il crache du feu à plus de 1 800 °F, dont des boules de feu capables de carboniser l'ennemi.</x:v>
      </x:c>
      <x:c r="S250" s="23" t="str"/>
      <x:c r="T250" s="23" t="str">
        <x:v>https://pixelmonmod.com/wiki/Torchic</x:v>
      </x:c>
    </x:row>
    <x:row r="251" ht="54" customHeight="1">
      <x:c r="A251" s="27" t="n">
        <x:v>256</x:v>
      </x:c>
      <x:c r="B251" s="23" t="str">
        <x:v>Galifeu</x:v>
      </x:c>
      <x:c r="C251" s="23" t="str">
        <x:v>Combusken</x:v>
      </x:c>
      <x:c r="D251" s="23" t="str">
        <x:v>Feu</x:v>
      </x:c>
      <x:c r="E251" s="23" t="str">
        <x:v>Combat</x:v>
      </x:c>
      <x:c r="F251" s="23" t="str">
        <x:v>Ultra Rare</x:v>
      </x:c>
      <x:c r="G251" s="45" t="n">
        <x:v>75000</x:v>
      </x:c>
      <x:c r="H251" s="45" t="n">
        <x:f>IF(G251="","",ROUNDUP(G251*3,0))</x:f>
        <x:v>225000</x:v>
      </x:c>
      <x:c r="I251" s="41" t="n">
        <x:v>1</x:v>
      </x:c>
      <x:c r="J251" s="42" t="n">
        <x:v>60</x:v>
      </x:c>
      <x:c r="K251" s="42" t="n">
        <x:v>85</x:v>
      </x:c>
      <x:c r="L251" s="42" t="n">
        <x:v>60</x:v>
      </x:c>
      <x:c r="M251" s="42" t="n">
        <x:v>85</x:v>
      </x:c>
      <x:c r="N251" s="42" t="n">
        <x:v>60</x:v>
      </x:c>
      <x:c r="O251" s="42" t="n">
        <x:v>55</x:v>
      </x:c>
      <x:c r="P251" s="43" t="n">
        <x:f>IF(COUNT(J251:O251)=0,"",SUM(J251:O251))</x:f>
        <x:v>405</x:v>
      </x:c>
      <x:c r="Q251" s="23" t="str">
        <x:v>1 lignes de spawn</x:v>
      </x:c>
      <x:c r="R251" s="23" t="str">
        <x:v>Galifeu renforce ses jambes et ses cuisses en courant à travers champs et montagnes. Les pattes de ce Pokémon allient puissance et rapidité, lui permettant d'asséner dix coups de pied par seconde.</x:v>
      </x:c>
      <x:c r="S251" s="23" t="str"/>
      <x:c r="T251" s="23" t="str">
        <x:v>https://pixelmonmod.com/wiki/Combusken</x:v>
      </x:c>
    </x:row>
    <x:row r="252" ht="54" customHeight="1">
      <x:c r="A252" s="27" t="n">
        <x:v>257</x:v>
      </x:c>
      <x:c r="B252" s="23" t="str">
        <x:v>Braségali</x:v>
      </x:c>
      <x:c r="C252" s="23" t="str">
        <x:v>Blaziken</x:v>
      </x:c>
      <x:c r="D252" s="23" t="str">
        <x:v>Feu</x:v>
      </x:c>
      <x:c r="E252" s="23" t="str">
        <x:v>Combat</x:v>
      </x:c>
      <x:c r="F252" s="23" t="str">
        <x:v>Ultra Rare</x:v>
      </x:c>
      <x:c r="G252" s="45" t="n">
        <x:v>75000</x:v>
      </x:c>
      <x:c r="H252" s="45" t="n">
        <x:f>IF(G252="","",ROUNDUP(G252*3,0))</x:f>
        <x:v>225000</x:v>
      </x:c>
      <x:c r="I252" s="41" t="n">
        <x:v>1</x:v>
      </x:c>
      <x:c r="J252" s="42" t="n">
        <x:v>80</x:v>
      </x:c>
      <x:c r="K252" s="42" t="n">
        <x:v>120</x:v>
      </x:c>
      <x:c r="L252" s="42" t="n">
        <x:v>70</x:v>
      </x:c>
      <x:c r="M252" s="42" t="n">
        <x:v>110</x:v>
      </x:c>
      <x:c r="N252" s="42" t="n">
        <x:v>70</x:v>
      </x:c>
      <x:c r="O252" s="42" t="n">
        <x:v>80</x:v>
      </x:c>
      <x:c r="P252" s="43" t="n">
        <x:f>IF(COUNT(J252:O252)=0,"",SUM(J252:O252))</x:f>
        <x:v>530</x:v>
      </x:c>
      <x:c r="Q252" s="23" t="str">
        <x:v>2 lignes de spawn</x:v>
      </x:c>
      <x:c r="R252" s="23" t="str">
        <x:v>En combat, Braségali projette d'intenses flammes depuis ses poignets et attaque courageusement ses ennemis. Plus l'adversaire est fort, plus les flammes de ses poignets brillent intensément.</x:v>
      </x:c>
      <x:c r="S252" s="23" t="str"/>
      <x:c r="T252" s="23" t="str">
        <x:v>https://pixelmonmod.com/wiki/Blaziken</x:v>
      </x:c>
    </x:row>
    <x:row r="253" ht="54" customHeight="1">
      <x:c r="A253" s="27" t="n">
        <x:v>258</x:v>
      </x:c>
      <x:c r="B253" s="23" t="str">
        <x:v>Gobou</x:v>
      </x:c>
      <x:c r="C253" s="23" t="str">
        <x:v>Mudkip</x:v>
      </x:c>
      <x:c r="D253" s="23" t="str">
        <x:v>Eau</x:v>
      </x:c>
      <x:c r="E253" s="23" t="str"/>
      <x:c r="F253" s="23" t="str">
        <x:v>Ultra Rare</x:v>
      </x:c>
      <x:c r="G253" s="45" t="n">
        <x:v>75000</x:v>
      </x:c>
      <x:c r="H253" s="45" t="n">
        <x:f>IF(G253="","",ROUNDUP(G253*3,0))</x:f>
        <x:v>225000</x:v>
      </x:c>
      <x:c r="I253" s="41" t="n">
        <x:v>1</x:v>
      </x:c>
      <x:c r="J253" s="42" t="n">
        <x:v>50</x:v>
      </x:c>
      <x:c r="K253" s="42" t="n">
        <x:v>70</x:v>
      </x:c>
      <x:c r="L253" s="42" t="n">
        <x:v>50</x:v>
      </x:c>
      <x:c r="M253" s="42" t="n">
        <x:v>50</x:v>
      </x:c>
      <x:c r="N253" s="42" t="n">
        <x:v>50</x:v>
      </x:c>
      <x:c r="O253" s="42" t="n">
        <x:v>40</x:v>
      </x:c>
      <x:c r="P253" s="43" t="n">
        <x:f>IF(COUNT(J253:O253)=0,"",SUM(J253:O253))</x:f>
        <x:v>310</x:v>
      </x:c>
      <x:c r="Q253" s="23" t="str">
        <x:v>6 lignes de spawn</x:v>
      </x:c>
      <x:c r="R253" s="23" t="str">
        <x:v>La nageoire sur la tête de Gobou agit comme un radar très sensible. Grâce à elle, il perçoit les mouvements de l'eau et de l'air et peut comprendre ce qui se passe autour de lui sans utiliser ses yeux.</x:v>
      </x:c>
      <x:c r="S253" s="23" t="str"/>
      <x:c r="T253" s="23" t="str">
        <x:v>https://pixelmonmod.com/wiki/Mudkip</x:v>
      </x:c>
    </x:row>
    <x:row r="254" ht="54" customHeight="1">
      <x:c r="A254" s="27" t="n">
        <x:v>259</x:v>
      </x:c>
      <x:c r="B254" s="23" t="str">
        <x:v>Flobio</x:v>
      </x:c>
      <x:c r="C254" s="23" t="str">
        <x:v>Marshtomp</x:v>
      </x:c>
      <x:c r="D254" s="23" t="str">
        <x:v>Eau</x:v>
      </x:c>
      <x:c r="E254" s="23" t="str">
        <x:v>Sol</x:v>
      </x:c>
      <x:c r="F254" s="23" t="str">
        <x:v>Ultra Rare</x:v>
      </x:c>
      <x:c r="G254" s="45" t="n">
        <x:v>75000</x:v>
      </x:c>
      <x:c r="H254" s="45" t="n">
        <x:f>IF(G254="","",ROUNDUP(G254*3,0))</x:f>
        <x:v>225000</x:v>
      </x:c>
      <x:c r="I254" s="41" t="n">
        <x:v>0.667</x:v>
      </x:c>
      <x:c r="J254" s="42" t="n">
        <x:v>70</x:v>
      </x:c>
      <x:c r="K254" s="42" t="n">
        <x:v>85</x:v>
      </x:c>
      <x:c r="L254" s="42" t="n">
        <x:v>70</x:v>
      </x:c>
      <x:c r="M254" s="42" t="n">
        <x:v>60</x:v>
      </x:c>
      <x:c r="N254" s="42" t="n">
        <x:v>70</x:v>
      </x:c>
      <x:c r="O254" s="42" t="n">
        <x:v>50</x:v>
      </x:c>
      <x:c r="P254" s="43" t="n">
        <x:f>IF(COUNT(J254:O254)=0,"",SUM(J254:O254))</x:f>
        <x:v>405</x:v>
      </x:c>
      <x:c r="Q254" s="23" t="str">
        <x:v>6 lignes de spawn</x:v>
      </x:c>
      <x:c r="R254" s="23" t="str">
        <x:v>Le corps de Flobio est recouvert d'un film fin et collant qui lui permet de vivre sur la terre ferme. Ce Pokémon joue dans la boue sur les plages lorsque la marée est basse.</x:v>
      </x:c>
      <x:c r="S254" s="23" t="str"/>
      <x:c r="T254" s="23" t="str">
        <x:v>https://pixelmonmod.com/wiki/Marshtomp</x:v>
      </x:c>
    </x:row>
    <x:row r="255" ht="54" customHeight="1">
      <x:c r="A255" s="27" t="n">
        <x:v>260</x:v>
      </x:c>
      <x:c r="B255" s="23" t="str">
        <x:v>Laggron</x:v>
      </x:c>
      <x:c r="C255" s="23" t="str">
        <x:v>Swampert</x:v>
      </x:c>
      <x:c r="D255" s="23" t="str">
        <x:v>Eau</x:v>
      </x:c>
      <x:c r="E255" s="23" t="str">
        <x:v>Sol</x:v>
      </x:c>
      <x:c r="F255" s="23" t="str">
        <x:v>Ultra Rare</x:v>
      </x:c>
      <x:c r="G255" s="45" t="n">
        <x:v>75000</x:v>
      </x:c>
      <x:c r="H255" s="45" t="n">
        <x:f>IF(G255="","",ROUNDUP(G255*3,0))</x:f>
        <x:v>225000</x:v>
      </x:c>
      <x:c r="I255" s="41" t="n">
        <x:v>1</x:v>
      </x:c>
      <x:c r="J255" s="42" t="n">
        <x:v>100</x:v>
      </x:c>
      <x:c r="K255" s="42" t="n">
        <x:v>110</x:v>
      </x:c>
      <x:c r="L255" s="42" t="n">
        <x:v>90</x:v>
      </x:c>
      <x:c r="M255" s="42" t="n">
        <x:v>85</x:v>
      </x:c>
      <x:c r="N255" s="42" t="n">
        <x:v>90</x:v>
      </x:c>
      <x:c r="O255" s="42" t="n">
        <x:v>60</x:v>
      </x:c>
      <x:c r="P255" s="43" t="n">
        <x:f>IF(COUNT(J255:O255)=0,"",SUM(J255:O255))</x:f>
        <x:v>535</x:v>
      </x:c>
      <x:c r="Q255" s="23" t="str">
        <x:v>4 lignes de spawn</x:v>
      </x:c>
      <x:c r="R255" s="23" t="str">
        <x:v>Laggron est très puissant. Il peut traîner sans effort un rocher de plus d'une tonne. Ce Pokémon possède également une vision perçante, même dans les eaux troubles.</x:v>
      </x:c>
      <x:c r="S255" s="23" t="str"/>
      <x:c r="T255" s="23" t="str">
        <x:v>https://pixelmonmod.com/wiki/Swampert</x:v>
      </x:c>
    </x:row>
    <x:row r="256" ht="54" customHeight="1">
      <x:c r="A256" s="27" t="n">
        <x:v>261</x:v>
      </x:c>
      <x:c r="B256" s="23" t="str">
        <x:v>Medhyèna</x:v>
      </x:c>
      <x:c r="C256" s="23" t="str">
        <x:v>Poochyena</x:v>
      </x:c>
      <x:c r="D256" s="23" t="str">
        <x:v>Ténèbres</x:v>
      </x:c>
      <x:c r="E256" s="23" t="str"/>
      <x:c r="F256" s="23" t="str">
        <x:v>Common / Uncommon</x:v>
      </x:c>
      <x:c r="G256" s="45" t="n">
        <x:v>5000</x:v>
      </x:c>
      <x:c r="H256" s="45" t="n">
        <x:f>IF(G256="","",ROUNDUP(G256*3,0))</x:f>
        <x:v>15000</x:v>
      </x:c>
      <x:c r="I256" s="41" t="n">
        <x:v>0.5</x:v>
      </x:c>
      <x:c r="J256" s="42" t="n">
        <x:v>35</x:v>
      </x:c>
      <x:c r="K256" s="42" t="n">
        <x:v>55</x:v>
      </x:c>
      <x:c r="L256" s="42" t="n">
        <x:v>35</x:v>
      </x:c>
      <x:c r="M256" s="42" t="n">
        <x:v>30</x:v>
      </x:c>
      <x:c r="N256" s="42" t="n">
        <x:v>30</x:v>
      </x:c>
      <x:c r="O256" s="42" t="n">
        <x:v>35</x:v>
      </x:c>
      <x:c r="P256" s="43" t="n">
        <x:f>IF(COUNT(J256:O256)=0,"",SUM(J256:O256))</x:f>
        <x:v>220</x:v>
      </x:c>
      <x:c r="Q256" s="23" t="str">
        <x:v>6 lignes de spawn</x:v>
      </x:c>
      <x:c r="R256" s="23" t="str">
        <x:v>Au premier regard, Medhyèna mord tout ce qui bouge. Ce Pokémon poursuit sa proie jusqu'à ce qu'elle soit épuisée. Cependant, il peut prendre la fuite si la proie riposte.</x:v>
      </x:c>
      <x:c r="S256" s="23" t="str">
        <x:v>Égalité de fréquence; prix provisoire basé sur le palier le plus élevé.</x:v>
      </x:c>
      <x:c r="T256" s="23" t="str">
        <x:v>https://pixelmonmod.com/wiki/Poochyena</x:v>
      </x:c>
    </x:row>
    <x:row r="257" ht="54" customHeight="1">
      <x:c r="A257" s="27" t="n">
        <x:v>262</x:v>
      </x:c>
      <x:c r="B257" s="23" t="str">
        <x:v>Grahyèna</x:v>
      </x:c>
      <x:c r="C257" s="23" t="str">
        <x:v>Mightyena</x:v>
      </x:c>
      <x:c r="D257" s="23" t="str">
        <x:v>Ténèbres</x:v>
      </x:c>
      <x:c r="E257" s="23" t="str"/>
      <x:c r="F257" s="23" t="str">
        <x:v>Very Rare / Ultra Rare</x:v>
      </x:c>
      <x:c r="G257" s="45" t="n">
        <x:v>75000</x:v>
      </x:c>
      <x:c r="H257" s="45" t="n">
        <x:f>IF(G257="","",ROUNDUP(G257*3,0))</x:f>
        <x:v>225000</x:v>
      </x:c>
      <x:c r="I257" s="41" t="n">
        <x:v>0.429</x:v>
      </x:c>
      <x:c r="J257" s="42" t="n">
        <x:v>70</x:v>
      </x:c>
      <x:c r="K257" s="42" t="n">
        <x:v>90</x:v>
      </x:c>
      <x:c r="L257" s="42" t="n">
        <x:v>70</x:v>
      </x:c>
      <x:c r="M257" s="42" t="n">
        <x:v>60</x:v>
      </x:c>
      <x:c r="N257" s="42" t="n">
        <x:v>60</x:v>
      </x:c>
      <x:c r="O257" s="42" t="n">
        <x:v>70</x:v>
      </x:c>
      <x:c r="P257" s="43" t="n">
        <x:f>IF(COUNT(J257:O257)=0,"",SUM(J257:O257))</x:f>
        <x:v>420</x:v>
      </x:c>
      <x:c r="Q257" s="23" t="str">
        <x:v>7 lignes de spawn</x:v>
      </x:c>
      <x:c r="R257" s="23" t="str">
        <x:v>Grahyèna donne des signes évidents lorsqu'il se prépare à attaquer. Il commence par grogner profondément avant d'aplatir son corps. Ce Pokémon mord férocement avec ses crocs acérés.</x:v>
      </x:c>
      <x:c r="S257" s="23" t="str">
        <x:v>Égalité de fréquence; prix provisoire basé sur le palier le plus élevé. Very Rare aligné sur le palier Super Rare (provisoire).</x:v>
      </x:c>
      <x:c r="T257" s="23" t="str">
        <x:v>https://pixelmonmod.com/wiki/Mightyena</x:v>
      </x:c>
    </x:row>
    <x:row r="258" ht="54" customHeight="1">
      <x:c r="A258" s="27" t="n">
        <x:v>263</x:v>
      </x:c>
      <x:c r="B258" s="23" t="str">
        <x:v>Zigzaton</x:v>
      </x:c>
      <x:c r="C258" s="23" t="str">
        <x:v>Zigzagoon</x:v>
      </x:c>
      <x:c r="D258" s="23" t="str">
        <x:v>Normal</x:v>
      </x:c>
      <x:c r="E258" s="23" t="str"/>
      <x:c r="F258" s="23" t="str">
        <x:v>Common</x:v>
      </x:c>
      <x:c r="G258" s="45" t="n">
        <x:v>2000</x:v>
      </x:c>
      <x:c r="H258" s="45" t="n">
        <x:f>IF(G258="","",ROUNDUP(G258*3,0))</x:f>
        <x:v>6000</x:v>
      </x:c>
      <x:c r="I258" s="41" t="n">
        <x:v>1</x:v>
      </x:c>
      <x:c r="J258" s="42" t="n">
        <x:v>38</x:v>
      </x:c>
      <x:c r="K258" s="42" t="n">
        <x:v>30</x:v>
      </x:c>
      <x:c r="L258" s="42" t="n">
        <x:v>41</x:v>
      </x:c>
      <x:c r="M258" s="42" t="n">
        <x:v>30</x:v>
      </x:c>
      <x:c r="N258" s="42" t="n">
        <x:v>41</x:v>
      </x:c>
      <x:c r="O258" s="42" t="n">
        <x:v>60</x:v>
      </x:c>
      <x:c r="P258" s="43" t="n">
        <x:f>IF(COUNT(J258:O258)=0,"",SUM(J258:O258))</x:f>
        <x:v>240</x:v>
      </x:c>
      <x:c r="Q258" s="23" t="str">
        <x:v>10 lignes de spawn</x:v>
      </x:c>
      <x:c r="R258" s="23" t="str">
        <x:v>Zigzaton erre sans cesse partout. Il agit ainsi parce qu'il est très curieux et s'intéresse à tout ce qu'il aperçoit.</x:v>
      </x:c>
      <x:c r="S258" s="23" t="str"/>
      <x:c r="T258" s="23" t="str">
        <x:v>https://pixelmonmod.com/wiki/Zigzagoon</x:v>
      </x:c>
    </x:row>
    <x:row r="259" ht="54" customHeight="1">
      <x:c r="A259" s="27" t="n">
        <x:v>264</x:v>
      </x:c>
      <x:c r="B259" s="23" t="str">
        <x:v>Linéon</x:v>
      </x:c>
      <x:c r="C259" s="23" t="str">
        <x:v>Linoone</x:v>
      </x:c>
      <x:c r="D259" s="23" t="str">
        <x:v>Normal</x:v>
      </x:c>
      <x:c r="E259" s="23" t="str"/>
      <x:c r="F259" s="23" t="str">
        <x:v>Rare</x:v>
      </x:c>
      <x:c r="G259" s="45" t="n">
        <x:v>12000</x:v>
      </x:c>
      <x:c r="H259" s="45" t="n">
        <x:f>IF(G259="","",ROUNDUP(G259*3,0))</x:f>
        <x:v>36000</x:v>
      </x:c>
      <x:c r="I259" s="41" t="n">
        <x:v>1</x:v>
      </x:c>
      <x:c r="J259" s="42" t="n">
        <x:v>78</x:v>
      </x:c>
      <x:c r="K259" s="42" t="n">
        <x:v>70</x:v>
      </x:c>
      <x:c r="L259" s="42" t="n">
        <x:v>61</x:v>
      </x:c>
      <x:c r="M259" s="42" t="n">
        <x:v>50</x:v>
      </x:c>
      <x:c r="N259" s="42" t="n">
        <x:v>61</x:v>
      </x:c>
      <x:c r="O259" s="42" t="n">
        <x:v>100</x:v>
      </x:c>
      <x:c r="P259" s="43" t="n">
        <x:f>IF(COUNT(J259:O259)=0,"",SUM(J259:O259))</x:f>
        <x:v>420</x:v>
      </x:c>
      <x:c r="Q259" s="23" t="str">
        <x:v>10 lignes de spawn</x:v>
      </x:c>
      <x:c r="R259" s="23" t="str">
        <x:v>Linéon court toujours à toute vitesse et seulement en ligne droite. Face à un obstacle, il fait un virage à angle droit pour l'éviter. Les routes légèrement courbées le mettent en grande difficulté.</x:v>
      </x:c>
      <x:c r="S259" s="23" t="str"/>
      <x:c r="T259" s="23" t="str">
        <x:v>https://pixelmonmod.com/wiki/Linoone</x:v>
      </x:c>
    </x:row>
    <x:row r="260" ht="54" customHeight="1">
      <x:c r="A260" s="27" t="n">
        <x:v>265</x:v>
      </x:c>
      <x:c r="B260" s="23" t="str">
        <x:v>Chenipotte</x:v>
      </x:c>
      <x:c r="C260" s="23" t="str">
        <x:v>Wurmple</x:v>
      </x:c>
      <x:c r="D260" s="23" t="str">
        <x:v>Insecte</x:v>
      </x:c>
      <x:c r="E260" s="23" t="str"/>
      <x:c r="F260" s="23" t="str">
        <x:v>Uncommon</x:v>
      </x:c>
      <x:c r="G260" s="45" t="n">
        <x:v>5000</x:v>
      </x:c>
      <x:c r="H260" s="45" t="n">
        <x:f>IF(G260="","",ROUNDUP(G260*3,0))</x:f>
        <x:v>15000</x:v>
      </x:c>
      <x:c r="I260" s="41" t="n">
        <x:v>0.5</x:v>
      </x:c>
      <x:c r="J260" s="42" t="n">
        <x:v>45</x:v>
      </x:c>
      <x:c r="K260" s="42" t="n">
        <x:v>45</x:v>
      </x:c>
      <x:c r="L260" s="42" t="n">
        <x:v>35</x:v>
      </x:c>
      <x:c r="M260" s="42" t="n">
        <x:v>20</x:v>
      </x:c>
      <x:c r="N260" s="42" t="n">
        <x:v>30</x:v>
      </x:c>
      <x:c r="O260" s="42" t="n">
        <x:v>20</x:v>
      </x:c>
      <x:c r="P260" s="43" t="n">
        <x:f>IF(COUNT(J260:O260)=0,"",SUM(J260:O260))</x:f>
        <x:v>195</x:v>
      </x:c>
      <x:c r="Q260" s="23" t="str">
        <x:v>4 lignes de spawn</x:v>
      </x:c>
      <x:c r="R260" s="23" t="str">
        <x:v>À l'aide des pointes de son arrière-train, Chenipotte écorce les arbres et se nourrit de la sève qui en sort. Ses pattes se terminent par des ventouses lui permettant d'adhérer au verre sans glisser.</x:v>
      </x:c>
      <x:c r="S260" s="23" t="str"/>
      <x:c r="T260" s="23" t="str">
        <x:v>https://pixelmonmod.com/wiki/Wurmple</x:v>
      </x:c>
    </x:row>
    <x:row r="261" ht="54" customHeight="1">
      <x:c r="A261" s="27" t="n">
        <x:v>266</x:v>
      </x:c>
      <x:c r="B261" s="23" t="str">
        <x:v>Armulys</x:v>
      </x:c>
      <x:c r="C261" s="23" t="str">
        <x:v>Silcoon</x:v>
      </x:c>
      <x:c r="D261" s="23" t="str">
        <x:v>Insecte</x:v>
      </x:c>
      <x:c r="E261" s="23" t="str"/>
      <x:c r="F261" s="23" t="str">
        <x:v>Uncommon / Rare / Very Rare</x:v>
      </x:c>
      <x:c r="G261" s="45" t="n">
        <x:v>30000</x:v>
      </x:c>
      <x:c r="H261" s="45" t="n">
        <x:f>IF(G261="","",ROUNDUP(G261*3,0))</x:f>
        <x:v>90000</x:v>
      </x:c>
      <x:c r="I261" s="41" t="n">
        <x:v>0.33299999999999996</x:v>
      </x:c>
      <x:c r="J261" s="42" t="n">
        <x:v>50</x:v>
      </x:c>
      <x:c r="K261" s="42" t="n">
        <x:v>35</x:v>
      </x:c>
      <x:c r="L261" s="42" t="n">
        <x:v>55</x:v>
      </x:c>
      <x:c r="M261" s="42" t="n">
        <x:v>25</x:v>
      </x:c>
      <x:c r="N261" s="42" t="n">
        <x:v>25</x:v>
      </x:c>
      <x:c r="O261" s="42" t="n">
        <x:v>15</x:v>
      </x:c>
      <x:c r="P261" s="43" t="n">
        <x:f>IF(COUNT(J261:O261)=0,"",SUM(J261:O261))</x:f>
        <x:v>205</x:v>
      </x:c>
      <x:c r="Q261" s="23" t="str">
        <x:v>3 lignes de spawn</x:v>
      </x:c>
      <x:c r="R261" s="23" t="str">
        <x:v>Armulys s'attache à une branche avec de la soie pour éviter de tomber. Il reste immobile en attendant son évolution et observe le monde par un petit trou dans son cocon.</x:v>
      </x:c>
      <x:c r="S261" s="23" t="str">
        <x:v>Égalité de fréquence; prix provisoire basé sur le palier le plus élevé. Very Rare aligné sur le palier Super Rare (provisoire).</x:v>
      </x:c>
      <x:c r="T261" s="23" t="str">
        <x:v>https://pixelmonmod.com/wiki/Silcoon</x:v>
      </x:c>
    </x:row>
    <x:row r="262" ht="54" customHeight="1">
      <x:c r="A262" s="27" t="n">
        <x:v>267</x:v>
      </x:c>
      <x:c r="B262" s="23" t="str">
        <x:v>Charmillon</x:v>
      </x:c>
      <x:c r="C262" s="23" t="str">
        <x:v>Beautifly</x:v>
      </x:c>
      <x:c r="D262" s="23" t="str">
        <x:v>Insecte</x:v>
      </x:c>
      <x:c r="E262" s="23" t="str">
        <x:v>Vol</x:v>
      </x:c>
      <x:c r="F262" s="23" t="str">
        <x:v>Very Rare / Ultra Rare</x:v>
      </x:c>
      <x:c r="G262" s="45" t="n">
        <x:v>75000</x:v>
      </x:c>
      <x:c r="H262" s="45" t="n">
        <x:f>IF(G262="","",ROUNDUP(G262*3,0))</x:f>
        <x:v>225000</x:v>
      </x:c>
      <x:c r="I262" s="41" t="n">
        <x:v>0.5</x:v>
      </x:c>
      <x:c r="J262" s="42" t="n">
        <x:v>60</x:v>
      </x:c>
      <x:c r="K262" s="42" t="n">
        <x:v>70</x:v>
      </x:c>
      <x:c r="L262" s="42" t="n">
        <x:v>50</x:v>
      </x:c>
      <x:c r="M262" s="42" t="n">
        <x:v>100</x:v>
      </x:c>
      <x:c r="N262" s="42" t="n">
        <x:v>50</x:v>
      </x:c>
      <x:c r="O262" s="42" t="n">
        <x:v>65</x:v>
      </x:c>
      <x:c r="P262" s="43" t="n">
        <x:f>IF(COUNT(J262:O262)=0,"",SUM(J262:O262))</x:f>
        <x:v>395</x:v>
      </x:c>
      <x:c r="Q262" s="23" t="str">
        <x:v>8 lignes de spawn</x:v>
      </x:c>
      <x:c r="R262" s="23" t="str">
        <x:v>La nourriture préférée de Charmillon est le pollen sucré des fleurs. Pour en attirer un, il suffit de poser une plante en pot près d'une fenêtre ouverte. Charmillon viendra sans faute chercher du pollen.</x:v>
      </x:c>
      <x:c r="S262" s="23" t="str">
        <x:v>Égalité de fréquence; prix provisoire basé sur le palier le plus élevé. Very Rare aligné sur le palier Super Rare (provisoire).</x:v>
      </x:c>
      <x:c r="T262" s="23" t="str">
        <x:v>https://pixelmonmod.com/wiki/Beautifly</x:v>
      </x:c>
    </x:row>
    <x:row r="263" ht="54" customHeight="1">
      <x:c r="A263" s="27" t="n">
        <x:v>268</x:v>
      </x:c>
      <x:c r="B263" s="23" t="str">
        <x:v>Blindalys</x:v>
      </x:c>
      <x:c r="C263" s="23" t="str">
        <x:v>Cascoon</x:v>
      </x:c>
      <x:c r="D263" s="23" t="str">
        <x:v>Insecte</x:v>
      </x:c>
      <x:c r="E263" s="23" t="str"/>
      <x:c r="F263" s="23" t="str">
        <x:v>Uncommon / Rare / Very Rare</x:v>
      </x:c>
      <x:c r="G263" s="45" t="n">
        <x:v>30000</x:v>
      </x:c>
      <x:c r="H263" s="45" t="n">
        <x:f>IF(G263="","",ROUNDUP(G263*3,0))</x:f>
        <x:v>90000</x:v>
      </x:c>
      <x:c r="I263" s="41" t="n">
        <x:v>0.33299999999999996</x:v>
      </x:c>
      <x:c r="J263" s="42" t="n">
        <x:v>50</x:v>
      </x:c>
      <x:c r="K263" s="42" t="n">
        <x:v>35</x:v>
      </x:c>
      <x:c r="L263" s="42" t="n">
        <x:v>55</x:v>
      </x:c>
      <x:c r="M263" s="42" t="n">
        <x:v>25</x:v>
      </x:c>
      <x:c r="N263" s="42" t="n">
        <x:v>25</x:v>
      </x:c>
      <x:c r="O263" s="42" t="n">
        <x:v>15</x:v>
      </x:c>
      <x:c r="P263" s="43" t="n">
        <x:f>IF(COUNT(J263:O263)=0,"",SUM(J263:O263))</x:f>
        <x:v>205</x:v>
      </x:c>
      <x:c r="Q263" s="23" t="str">
        <x:v>3 lignes de spawn</x:v>
      </x:c>
      <x:c r="R263" s="23" t="str">
        <x:v>Blindalys se fabrique un cocon protecteur en enroulant autour de son corps une soie fine produite par sa bouche. Une fois enroulée, la soie se solidifie. Ce Pokémon prépare son évolution à l'intérieur du cocon.</x:v>
      </x:c>
      <x:c r="S263" s="23" t="str">
        <x:v>Égalité de fréquence; prix provisoire basé sur le palier le plus élevé. Very Rare aligné sur le palier Super Rare (provisoire).</x:v>
      </x:c>
      <x:c r="T263" s="23" t="str">
        <x:v>https://pixelmonmod.com/wiki/Cascoon</x:v>
      </x:c>
    </x:row>
    <x:row r="264" ht="54" customHeight="1">
      <x:c r="A264" s="27" t="n">
        <x:v>269</x:v>
      </x:c>
      <x:c r="B264" s="23" t="str">
        <x:v>Munitix</x:v>
      </x:c>
      <x:c r="C264" s="23" t="str">
        <x:v>Dustox</x:v>
      </x:c>
      <x:c r="D264" s="23" t="str">
        <x:v>Insecte</x:v>
      </x:c>
      <x:c r="E264" s="23" t="str">
        <x:v>Poison</x:v>
      </x:c>
      <x:c r="F264" s="23" t="str">
        <x:v>Ultra Rare</x:v>
      </x:c>
      <x:c r="G264" s="45" t="n">
        <x:v>75000</x:v>
      </x:c>
      <x:c r="H264" s="45" t="n">
        <x:f>IF(G264="","",ROUNDUP(G264*3,0))</x:f>
        <x:v>225000</x:v>
      </x:c>
      <x:c r="I264" s="41" t="n">
        <x:v>0.625</x:v>
      </x:c>
      <x:c r="J264" s="42" t="n">
        <x:v>60</x:v>
      </x:c>
      <x:c r="K264" s="42" t="n">
        <x:v>50</x:v>
      </x:c>
      <x:c r="L264" s="42" t="n">
        <x:v>70</x:v>
      </x:c>
      <x:c r="M264" s="42" t="n">
        <x:v>50</x:v>
      </x:c>
      <x:c r="N264" s="42" t="n">
        <x:v>90</x:v>
      </x:c>
      <x:c r="O264" s="42" t="n">
        <x:v>65</x:v>
      </x:c>
      <x:c r="P264" s="43" t="n">
        <x:f>IF(COUNT(J264:O264)=0,"",SUM(J264:O264))</x:f>
        <x:v>385</x:v>
      </x:c>
      <x:c r="Q264" s="23" t="str">
        <x:v>8 lignes de spawn</x:v>
      </x:c>
      <x:c r="R264" s="23" t="str">
        <x:v>Munitix est instinctivement attiré par la lumière. Des nuées de ce Pokémon sont attirées par les lumières vives des villes, où elles ravagent les arbres en dévorant leurs feuilles.</x:v>
      </x:c>
      <x:c r="S264" s="23" t="str"/>
      <x:c r="T264" s="23" t="str">
        <x:v>https://pixelmonmod.com/wiki/Dustox</x:v>
      </x:c>
    </x:row>
    <x:row r="265" ht="54" customHeight="1">
      <x:c r="A265" s="27" t="n">
        <x:v>270</x:v>
      </x:c>
      <x:c r="B265" s="23" t="str">
        <x:v>Nénupiot</x:v>
      </x:c>
      <x:c r="C265" s="23" t="str">
        <x:v>Lotad</x:v>
      </x:c>
      <x:c r="D265" s="23" t="str">
        <x:v>Eau</x:v>
      </x:c>
      <x:c r="E265" s="23" t="str">
        <x:v>Plante</x:v>
      </x:c>
      <x:c r="F265" s="23" t="str">
        <x:v>Uncommon</x:v>
      </x:c>
      <x:c r="G265" s="45" t="n">
        <x:v>5000</x:v>
      </x:c>
      <x:c r="H265" s="45" t="n">
        <x:f>IF(G265="","",ROUNDUP(G265*3,0))</x:f>
        <x:v>15000</x:v>
      </x:c>
      <x:c r="I265" s="41" t="n">
        <x:v>0.667</x:v>
      </x:c>
      <x:c r="J265" s="42" t="n">
        <x:v>40</x:v>
      </x:c>
      <x:c r="K265" s="42" t="n">
        <x:v>30</x:v>
      </x:c>
      <x:c r="L265" s="42" t="n">
        <x:v>30</x:v>
      </x:c>
      <x:c r="M265" s="42" t="n">
        <x:v>40</x:v>
      </x:c>
      <x:c r="N265" s="42" t="n">
        <x:v>50</x:v>
      </x:c>
      <x:c r="O265" s="42" t="n">
        <x:v>30</x:v>
      </x:c>
      <x:c r="P265" s="43" t="n">
        <x:f>IF(COUNT(J265:O265)=0,"",SUM(J265:O265))</x:f>
        <x:v>220</x:v>
      </x:c>
      <x:c r="Q265" s="23" t="str">
        <x:v>6 lignes de spawn</x:v>
      </x:c>
      <x:c r="R265" s="23" t="str">
        <x:v>Nénupiot vit dans les étangs et les lacs, où il flotte à la surface. Il s'affaiblit si sa large feuille se dessèche. Parfois, il se déplace sur terre à la recherche d'eau pure.</x:v>
      </x:c>
      <x:c r="S265" s="23" t="str"/>
      <x:c r="T265" s="23" t="str">
        <x:v>https://pixelmonmod.com/wiki/Lotad</x:v>
      </x:c>
    </x:row>
    <x:row r="266" ht="54" customHeight="1">
      <x:c r="A266" s="27" t="n">
        <x:v>271</x:v>
      </x:c>
      <x:c r="B266" s="23" t="str">
        <x:v>Lombre</x:v>
      </x:c>
      <x:c r="C266" s="23" t="str">
        <x:v>Lombre</x:v>
      </x:c>
      <x:c r="D266" s="23" t="str">
        <x:v>Eau</x:v>
      </x:c>
      <x:c r="E266" s="23" t="str">
        <x:v>Plante</x:v>
      </x:c>
      <x:c r="F266" s="23" t="str">
        <x:v>Very Rare / Ultra Rare</x:v>
      </x:c>
      <x:c r="G266" s="45" t="n">
        <x:v>75000</x:v>
      </x:c>
      <x:c r="H266" s="45" t="n">
        <x:f>IF(G266="","",ROUNDUP(G266*3,0))</x:f>
        <x:v>225000</x:v>
      </x:c>
      <x:c r="I266" s="41" t="n">
        <x:v>0.5</x:v>
      </x:c>
      <x:c r="J266" s="42" t="n">
        <x:v>60</x:v>
      </x:c>
      <x:c r="K266" s="42" t="n">
        <x:v>50</x:v>
      </x:c>
      <x:c r="L266" s="42" t="n">
        <x:v>50</x:v>
      </x:c>
      <x:c r="M266" s="42" t="n">
        <x:v>60</x:v>
      </x:c>
      <x:c r="N266" s="42" t="n">
        <x:v>70</x:v>
      </x:c>
      <x:c r="O266" s="42" t="n">
        <x:v>50</x:v>
      </x:c>
      <x:c r="P266" s="43" t="n">
        <x:f>IF(COUNT(J266:O266)=0,"",SUM(J266:O266))</x:f>
        <x:v>340</x:v>
      </x:c>
      <x:c r="Q266" s="23" t="str">
        <x:v>4 lignes de spawn</x:v>
      </x:c>
      <x:c r="R266" s="23" t="str">
        <x:v>Lombre est nocturne : il devient actif après la tombée du jour. Il est aussi très farceur. Lorsqu'il aperçoit des pêcheurs, il tire sur leurs lignes sous la surface et se délecte de leur confusion.</x:v>
      </x:c>
      <x:c r="S266" s="23" t="str">
        <x:v>Égalité de fréquence; prix provisoire basé sur le palier le plus élevé. Very Rare aligné sur le palier Super Rare (provisoire).</x:v>
      </x:c>
      <x:c r="T266" s="23" t="str">
        <x:v>https://pixelmonmod.com/wiki/Lombre</x:v>
      </x:c>
    </x:row>
    <x:row r="267" ht="54" customHeight="1">
      <x:c r="A267" s="27" t="n">
        <x:v>272</x:v>
      </x:c>
      <x:c r="B267" s="23" t="str">
        <x:v>Ludicolo</x:v>
      </x:c>
      <x:c r="C267" s="23" t="str">
        <x:v>Ludicolo</x:v>
      </x:c>
      <x:c r="D267" s="23" t="str">
        <x:v>Eau</x:v>
      </x:c>
      <x:c r="E267" s="23" t="str">
        <x:v>Plante</x:v>
      </x:c>
      <x:c r="F267" s="23" t="str">
        <x:v>Non classé</x:v>
      </x:c>
      <x:c r="G267" s="45"/>
      <x:c r="H267" s="45" t="str">
        <x:f>IF(G267="","",ROUNDUP(G267*3,0))</x:f>
      </x:c>
      <x:c r="I267" s="41"/>
      <x:c r="J267" s="42" t="n">
        <x:v>80</x:v>
      </x:c>
      <x:c r="K267" s="42" t="n">
        <x:v>70</x:v>
      </x:c>
      <x:c r="L267" s="42" t="n">
        <x:v>70</x:v>
      </x:c>
      <x:c r="M267" s="42" t="n">
        <x:v>90</x:v>
      </x:c>
      <x:c r="N267" s="42" t="n">
        <x:v>100</x:v>
      </x:c>
      <x:c r="O267" s="42" t="n">
        <x:v>70</x:v>
      </x:c>
      <x:c r="P267" s="43" t="n">
        <x:f>IF(COUNT(J267:O267)=0,"",SUM(J267:O267))</x:f>
        <x:v>480</x:v>
      </x:c>
      <x:c r="Q267" s="23" t="str">
        <x:v>Aucune ligne classée</x:v>
      </x:c>
      <x:c r="R267" s="23" t="str">
        <x:v>Ludicolo se met à danser dès qu'il entend une musique joyeuse et festive. On dit qu'il apparaît lorsqu'il entend des enfants chanter en randonnée.</x:v>
      </x:c>
      <x:c r="S267" s="23" t="str">
        <x:v>Aucune rareté wiki exploitable; prix à fixer.</x:v>
      </x:c>
      <x:c r="T267" s="23" t="str">
        <x:v>https://pixelmonmod.com/wiki/Ludicolo</x:v>
      </x:c>
    </x:row>
    <x:row r="268" ht="54" customHeight="1">
      <x:c r="A268" s="27" t="n">
        <x:v>273</x:v>
      </x:c>
      <x:c r="B268" s="23" t="str">
        <x:v>Grainipiot</x:v>
      </x:c>
      <x:c r="C268" s="23" t="str">
        <x:v>Seedot</x:v>
      </x:c>
      <x:c r="D268" s="23" t="str">
        <x:v>Plante</x:v>
      </x:c>
      <x:c r="E268" s="23" t="str"/>
      <x:c r="F268" s="23" t="str">
        <x:v>Uncommon</x:v>
      </x:c>
      <x:c r="G268" s="45" t="n">
        <x:v>5000</x:v>
      </x:c>
      <x:c r="H268" s="45" t="n">
        <x:f>IF(G268="","",ROUNDUP(G268*3,0))</x:f>
        <x:v>15000</x:v>
      </x:c>
      <x:c r="I268" s="41" t="n">
        <x:v>1</x:v>
      </x:c>
      <x:c r="J268" s="42" t="n">
        <x:v>40</x:v>
      </x:c>
      <x:c r="K268" s="42" t="n">
        <x:v>40</x:v>
      </x:c>
      <x:c r="L268" s="42" t="n">
        <x:v>50</x:v>
      </x:c>
      <x:c r="M268" s="42" t="n">
        <x:v>30</x:v>
      </x:c>
      <x:c r="N268" s="42" t="n">
        <x:v>30</x:v>
      </x:c>
      <x:c r="O268" s="42" t="n">
        <x:v>30</x:v>
      </x:c>
      <x:c r="P268" s="43" t="n">
        <x:f>IF(COUNT(J268:O268)=0,"",SUM(J268:O268))</x:f>
        <x:v>220</x:v>
      </x:c>
      <x:c r="Q268" s="23" t="str">
        <x:v>6 lignes de spawn</x:v>
      </x:c>
      <x:c r="R268" s="23" t="str">
        <x:v>Grainipiot s'accroche à une branche en utilisant le sommet de sa tête. Il aspire l'humidité de l'arbre en restant suspendu. Plus il boit d'eau, plus son corps devient brillant.</x:v>
      </x:c>
      <x:c r="S268" s="23" t="str"/>
      <x:c r="T268" s="23" t="str">
        <x:v>https://pixelmonmod.com/wiki/Seedot</x:v>
      </x:c>
    </x:row>
    <x:row r="269" ht="54" customHeight="1">
      <x:c r="A269" s="27" t="n">
        <x:v>274</x:v>
      </x:c>
      <x:c r="B269" s="23" t="str">
        <x:v>Pifeuil</x:v>
      </x:c>
      <x:c r="C269" s="23" t="str">
        <x:v>Nuzleaf</x:v>
      </x:c>
      <x:c r="D269" s="23" t="str">
        <x:v>Plante</x:v>
      </x:c>
      <x:c r="E269" s="23" t="str">
        <x:v>Ténèbres</x:v>
      </x:c>
      <x:c r="F269" s="23" t="str">
        <x:v>Ultra Rare</x:v>
      </x:c>
      <x:c r="G269" s="45" t="n">
        <x:v>75000</x:v>
      </x:c>
      <x:c r="H269" s="45" t="n">
        <x:f>IF(G269="","",ROUNDUP(G269*3,0))</x:f>
        <x:v>225000</x:v>
      </x:c>
      <x:c r="I269" s="41" t="n">
        <x:v>1</x:v>
      </x:c>
      <x:c r="J269" s="42" t="n">
        <x:v>70</x:v>
      </x:c>
      <x:c r="K269" s="42" t="n">
        <x:v>70</x:v>
      </x:c>
      <x:c r="L269" s="42" t="n">
        <x:v>40</x:v>
      </x:c>
      <x:c r="M269" s="42" t="n">
        <x:v>60</x:v>
      </x:c>
      <x:c r="N269" s="42" t="n">
        <x:v>40</x:v>
      </x:c>
      <x:c r="O269" s="42" t="n">
        <x:v>60</x:v>
      </x:c>
      <x:c r="P269" s="43" t="n">
        <x:f>IF(COUNT(J269:O269)=0,"",SUM(J269:O269))</x:f>
        <x:v>340</x:v>
      </x:c>
      <x:c r="Q269" s="23" t="str">
        <x:v>2 lignes de spawn</x:v>
      </x:c>
      <x:c r="R269" s="23" t="str">
        <x:v>Pifeuil vit dans des forêts très denses. Il sort parfois pour effrayer les gens. Il déteste qu'on lui pince le long nez.</x:v>
      </x:c>
      <x:c r="S269" s="23" t="str"/>
      <x:c r="T269" s="23" t="str">
        <x:v>https://pixelmonmod.com/wiki/Nuzleaf</x:v>
      </x:c>
    </x:row>
    <x:row r="270" ht="54" customHeight="1">
      <x:c r="A270" s="27" t="n">
        <x:v>275</x:v>
      </x:c>
      <x:c r="B270" s="23" t="str">
        <x:v>Tengalice</x:v>
      </x:c>
      <x:c r="C270" s="23" t="str">
        <x:v>Shiftry</x:v>
      </x:c>
      <x:c r="D270" s="23" t="str">
        <x:v>Plante</x:v>
      </x:c>
      <x:c r="E270" s="23" t="str">
        <x:v>Ténèbres</x:v>
      </x:c>
      <x:c r="F270" s="23" t="str">
        <x:v>Ultra Rare</x:v>
      </x:c>
      <x:c r="G270" s="45" t="n">
        <x:v>75000</x:v>
      </x:c>
      <x:c r="H270" s="45" t="n">
        <x:f>IF(G270="","",ROUNDUP(G270*3,0))</x:f>
        <x:v>225000</x:v>
      </x:c>
      <x:c r="I270" s="41" t="n">
        <x:v>1</x:v>
      </x:c>
      <x:c r="J270" s="42" t="n">
        <x:v>90</x:v>
      </x:c>
      <x:c r="K270" s="42" t="n">
        <x:v>100</x:v>
      </x:c>
      <x:c r="L270" s="42" t="n">
        <x:v>60</x:v>
      </x:c>
      <x:c r="M270" s="42" t="n">
        <x:v>90</x:v>
      </x:c>
      <x:c r="N270" s="42" t="n">
        <x:v>60</x:v>
      </x:c>
      <x:c r="O270" s="42" t="n">
        <x:v>80</x:v>
      </x:c>
      <x:c r="P270" s="43" t="n">
        <x:f>IF(COUNT(J270:O270)=0,"",SUM(J270:O270))</x:f>
        <x:v>480</x:v>
      </x:c>
      <x:c r="Q270" s="23" t="str">
        <x:v>2 lignes de spawn</x:v>
      </x:c>
      <x:c r="R270" s="23" t="str">
        <x:v>Tengalice est un Pokémon mystérieux qui vivrait au sommet d'arbres gigantesques âgés de plus de mille ans. Il crée de terribles rafales grâce aux éventails qu'il tient.</x:v>
      </x:c>
      <x:c r="S270" s="23" t="str"/>
      <x:c r="T270" s="23" t="str">
        <x:v>https://pixelmonmod.com/wiki/Shiftry</x:v>
      </x:c>
    </x:row>
    <x:row r="271" ht="54" customHeight="1">
      <x:c r="A271" s="27" t="n">
        <x:v>276</x:v>
      </x:c>
      <x:c r="B271" s="23" t="str">
        <x:v>Nirondelle</x:v>
      </x:c>
      <x:c r="C271" s="23" t="str">
        <x:v>Taillow</x:v>
      </x:c>
      <x:c r="D271" s="23" t="str">
        <x:v>Normal</x:v>
      </x:c>
      <x:c r="E271" s="23" t="str">
        <x:v>Vol</x:v>
      </x:c>
      <x:c r="F271" s="23" t="str">
        <x:v>Uncommon</x:v>
      </x:c>
      <x:c r="G271" s="45" t="n">
        <x:v>5000</x:v>
      </x:c>
      <x:c r="H271" s="45" t="n">
        <x:f>IF(G271="","",ROUNDUP(G271*3,0))</x:f>
        <x:v>15000</x:v>
      </x:c>
      <x:c r="I271" s="41" t="n">
        <x:v>0.667</x:v>
      </x:c>
      <x:c r="J271" s="42" t="n">
        <x:v>40</x:v>
      </x:c>
      <x:c r="K271" s="42" t="n">
        <x:v>55</x:v>
      </x:c>
      <x:c r="L271" s="42" t="n">
        <x:v>30</x:v>
      </x:c>
      <x:c r="M271" s="42" t="n">
        <x:v>30</x:v>
      </x:c>
      <x:c r="N271" s="42" t="n">
        <x:v>30</x:v>
      </x:c>
      <x:c r="O271" s="42" t="n">
        <x:v>85</x:v>
      </x:c>
      <x:c r="P271" s="43" t="n">
        <x:f>IF(COUNT(J271:O271)=0,"",SUM(J271:O271))</x:f>
        <x:v>270</x:v>
      </x:c>
      <x:c r="Q271" s="23" t="str">
        <x:v>9 lignes de spawn</x:v>
      </x:c>
      <x:c r="R271" s="23" t="str">
        <x:v>Nirondelle tient tête courageusement à ses ennemis, aussi puissants soient-ils. Ce Pokémon intrépide reste défiant même après une défaite. En revanche, il pleure bruyamment s'il a faim.</x:v>
      </x:c>
      <x:c r="S271" s="23" t="str"/>
      <x:c r="T271" s="23" t="str">
        <x:v>https://pixelmonmod.com/wiki/Taillow</x:v>
      </x:c>
    </x:row>
    <x:row r="272" ht="54" customHeight="1">
      <x:c r="A272" s="27" t="n">
        <x:v>277</x:v>
      </x:c>
      <x:c r="B272" s="23" t="str">
        <x:v>Hélédelle</x:v>
      </x:c>
      <x:c r="C272" s="23" t="str">
        <x:v>Swellow</x:v>
      </x:c>
      <x:c r="D272" s="23" t="str">
        <x:v>Normal</x:v>
      </x:c>
      <x:c r="E272" s="23" t="str">
        <x:v>Vol</x:v>
      </x:c>
      <x:c r="F272" s="23" t="str">
        <x:v>Ultra Rare</x:v>
      </x:c>
      <x:c r="G272" s="45" t="n">
        <x:v>75000</x:v>
      </x:c>
      <x:c r="H272" s="45" t="n">
        <x:f>IF(G272="","",ROUNDUP(G272*3,0))</x:f>
        <x:v>225000</x:v>
      </x:c>
      <x:c r="I272" s="41" t="n">
        <x:v>1</x:v>
      </x:c>
      <x:c r="J272" s="42" t="n">
        <x:v>60</x:v>
      </x:c>
      <x:c r="K272" s="42" t="n">
        <x:v>85</x:v>
      </x:c>
      <x:c r="L272" s="42" t="n">
        <x:v>60</x:v>
      </x:c>
      <x:c r="M272" s="42" t="n">
        <x:v>75</x:v>
      </x:c>
      <x:c r="N272" s="42" t="n">
        <x:v>50</x:v>
      </x:c>
      <x:c r="O272" s="42" t="n">
        <x:v>125</x:v>
      </x:c>
      <x:c r="P272" s="43" t="n">
        <x:f>IF(COUNT(J272:O272)=0,"",SUM(J272:O272))</x:f>
        <x:v>455</x:v>
      </x:c>
      <x:c r="Q272" s="23" t="str">
        <x:v>6 lignes de spawn</x:v>
      </x:c>
      <x:c r="R272" s="23" t="str">
        <x:v>Hélédelle vole haut dans le ciel en décrivant des arcs gracieux. Dès qu'il aperçoit une proie, il plonge en piqué. La proie, malchanceuse, est fermement saisie par ses serres, l'empêchant de fuir.</x:v>
      </x:c>
      <x:c r="S272" s="23" t="str"/>
      <x:c r="T272" s="23" t="str">
        <x:v>https://pixelmonmod.com/wiki/Swellow</x:v>
      </x:c>
    </x:row>
    <x:row r="273" ht="54" customHeight="1">
      <x:c r="A273" s="27" t="n">
        <x:v>278</x:v>
      </x:c>
      <x:c r="B273" s="23" t="str">
        <x:v>Goélise</x:v>
      </x:c>
      <x:c r="C273" s="23" t="str">
        <x:v>Wingull</x:v>
      </x:c>
      <x:c r="D273" s="23" t="str">
        <x:v>Eau</x:v>
      </x:c>
      <x:c r="E273" s="23" t="str">
        <x:v>Vol</x:v>
      </x:c>
      <x:c r="F273" s="23" t="str">
        <x:v>Uncommon</x:v>
      </x:c>
      <x:c r="G273" s="45" t="n">
        <x:v>5000</x:v>
      </x:c>
      <x:c r="H273" s="45" t="n">
        <x:f>IF(G273="","",ROUNDUP(G273*3,0))</x:f>
        <x:v>15000</x:v>
      </x:c>
      <x:c r="I273" s="41" t="n">
        <x:v>1</x:v>
      </x:c>
      <x:c r="J273" s="42" t="n">
        <x:v>40</x:v>
      </x:c>
      <x:c r="K273" s="42" t="n">
        <x:v>30</x:v>
      </x:c>
      <x:c r="L273" s="42" t="n">
        <x:v>30</x:v>
      </x:c>
      <x:c r="M273" s="42" t="n">
        <x:v>55</x:v>
      </x:c>
      <x:c r="N273" s="42" t="n">
        <x:v>30</x:v>
      </x:c>
      <x:c r="O273" s="42" t="n">
        <x:v>85</x:v>
      </x:c>
      <x:c r="P273" s="43" t="n">
        <x:f>IF(COUNT(J273:O273)=0,"",SUM(J273:O273))</x:f>
        <x:v>270</x:v>
      </x:c>
      <x:c r="Q273" s="23" t="str">
        <x:v>1 lignes de spawn</x:v>
      </x:c>
      <x:c r="R273" s="23" t="str">
        <x:v>Goélise a l'habitude de transporter ses proies et des objets brillants dans son bec pour les cacher en divers endroits. Ce Pokémon chevauche les vents et vole comme s'il glissait dans le ciel.</x:v>
      </x:c>
      <x:c r="S273" s="23" t="str"/>
      <x:c r="T273" s="23" t="str">
        <x:v>https://pixelmonmod.com/wiki/Wingull</x:v>
      </x:c>
    </x:row>
    <x:row r="274" ht="54" customHeight="1">
      <x:c r="A274" s="27" t="n">
        <x:v>279</x:v>
      </x:c>
      <x:c r="B274" s="23" t="str">
        <x:v>Bekipan</x:v>
      </x:c>
      <x:c r="C274" s="23" t="str">
        <x:v>Pelipper</x:v>
      </x:c>
      <x:c r="D274" s="23" t="str">
        <x:v>Eau</x:v>
      </x:c>
      <x:c r="E274" s="23" t="str">
        <x:v>Vol</x:v>
      </x:c>
      <x:c r="F274" s="23" t="str">
        <x:v>Very Rare</x:v>
      </x:c>
      <x:c r="G274" s="45" t="n">
        <x:v>30000</x:v>
      </x:c>
      <x:c r="H274" s="45" t="n">
        <x:f>IF(G274="","",ROUNDUP(G274*3,0))</x:f>
        <x:v>90000</x:v>
      </x:c>
      <x:c r="I274" s="41" t="n">
        <x:v>1</x:v>
      </x:c>
      <x:c r="J274" s="42" t="n">
        <x:v>60</x:v>
      </x:c>
      <x:c r="K274" s="42" t="n">
        <x:v>50</x:v>
      </x:c>
      <x:c r="L274" s="42" t="n">
        <x:v>100</x:v>
      </x:c>
      <x:c r="M274" s="42" t="n">
        <x:v>95</x:v>
      </x:c>
      <x:c r="N274" s="42" t="n">
        <x:v>70</x:v>
      </x:c>
      <x:c r="O274" s="42" t="n">
        <x:v>65</x:v>
      </x:c>
      <x:c r="P274" s="43" t="n">
        <x:f>IF(COUNT(J274:O274)=0,"",SUM(J274:O274))</x:f>
        <x:v>440</x:v>
      </x:c>
      <x:c r="Q274" s="23" t="str">
        <x:v>1 lignes de spawn</x:v>
      </x:c>
      <x:c r="R274" s="23" t="str">
        <x:v>Bekipan est un transporteur aérien qui transporte de petits Pokémon et des Œufs dans son immense bec. Il construit son nid sur des falaises abruptes faisant face à la mer.</x:v>
      </x:c>
      <x:c r="S274" s="23" t="str">
        <x:v>Very Rare aligné sur le palier Super Rare (provisoire).</x:v>
      </x:c>
      <x:c r="T274" s="23" t="str">
        <x:v>https://pixelmonmod.com/wiki/Pelipper</x:v>
      </x:c>
    </x:row>
    <x:row r="275" ht="54" customHeight="1">
      <x:c r="A275" s="27" t="n">
        <x:v>280</x:v>
      </x:c>
      <x:c r="B275" s="23" t="str">
        <x:v>Tarsal</x:v>
      </x:c>
      <x:c r="C275" s="23" t="str">
        <x:v>Ralts</x:v>
      </x:c>
      <x:c r="D275" s="23" t="str">
        <x:v>Psy</x:v>
      </x:c>
      <x:c r="E275" s="23" t="str">
        <x:v>Fée</x:v>
      </x:c>
      <x:c r="F275" s="23" t="str">
        <x:v>Uncommon</x:v>
      </x:c>
      <x:c r="G275" s="45" t="n">
        <x:v>5000</x:v>
      </x:c>
      <x:c r="H275" s="45" t="n">
        <x:f>IF(G275="","",ROUNDUP(G275*3,0))</x:f>
        <x:v>15000</x:v>
      </x:c>
      <x:c r="I275" s="41" t="n">
        <x:v>0.75</x:v>
      </x:c>
      <x:c r="J275" s="42" t="n">
        <x:v>28</x:v>
      </x:c>
      <x:c r="K275" s="42" t="n">
        <x:v>25</x:v>
      </x:c>
      <x:c r="L275" s="42" t="n">
        <x:v>25</x:v>
      </x:c>
      <x:c r="M275" s="42" t="n">
        <x:v>45</x:v>
      </x:c>
      <x:c r="N275" s="42" t="n">
        <x:v>35</x:v>
      </x:c>
      <x:c r="O275" s="42" t="n">
        <x:v>40</x:v>
      </x:c>
      <x:c r="P275" s="43" t="n">
        <x:f>IF(COUNT(J275:O275)=0,"",SUM(J275:O275))</x:f>
        <x:v>198</x:v>
      </x:c>
      <x:c r="Q275" s="23" t="str">
        <x:v>4 lignes de spawn</x:v>
      </x:c>
      <x:c r="R275" s="23" t="str">
        <x:v>Tarsal perçoit les émotions des gens grâce aux appendices sur sa tête. Il apparaît rarement, mais s'approche des personnes dont il ressent les intentions bienveillantes.</x:v>
      </x:c>
      <x:c r="S275" s="23" t="str"/>
      <x:c r="T275" s="23" t="str">
        <x:v>https://pixelmonmod.com/wiki/Ralts</x:v>
      </x:c>
    </x:row>
    <x:row r="276" ht="54" customHeight="1">
      <x:c r="A276" s="27" t="n">
        <x:v>281</x:v>
      </x:c>
      <x:c r="B276" s="23" t="str">
        <x:v>Kirlia</x:v>
      </x:c>
      <x:c r="C276" s="23" t="str">
        <x:v>Kirlia</x:v>
      </x:c>
      <x:c r="D276" s="23" t="str">
        <x:v>Psy</x:v>
      </x:c>
      <x:c r="E276" s="23" t="str">
        <x:v>Fée</x:v>
      </x:c>
      <x:c r="F276" s="23" t="str">
        <x:v>Ultra Rare</x:v>
      </x:c>
      <x:c r="G276" s="45" t="n">
        <x:v>75000</x:v>
      </x:c>
      <x:c r="H276" s="45" t="n">
        <x:f>IF(G276="","",ROUNDUP(G276*3,0))</x:f>
        <x:v>225000</x:v>
      </x:c>
      <x:c r="I276" s="41" t="n">
        <x:v>0.667</x:v>
      </x:c>
      <x:c r="J276" s="42" t="n">
        <x:v>38</x:v>
      </x:c>
      <x:c r="K276" s="42" t="n">
        <x:v>35</x:v>
      </x:c>
      <x:c r="L276" s="42" t="n">
        <x:v>35</x:v>
      </x:c>
      <x:c r="M276" s="42" t="n">
        <x:v>65</x:v>
      </x:c>
      <x:c r="N276" s="42" t="n">
        <x:v>55</x:v>
      </x:c>
      <x:c r="O276" s="42" t="n">
        <x:v>50</x:v>
      </x:c>
      <x:c r="P276" s="43" t="n">
        <x:f>IF(COUNT(J276:O276)=0,"",SUM(J276:O276))</x:f>
        <x:v>278</x:v>
      </x:c>
      <x:c r="Q276" s="23" t="str">
        <x:v>3 lignes de spawn</x:v>
      </x:c>
      <x:c r="R276" s="23" t="str">
        <x:v>On raconte qu'un Kirlia exposé aux émotions positives de son Dresseur devient plus gracieux. Il contrôle ses pouvoirs psychiques à l'aide de son cerveau très développé.</x:v>
      </x:c>
      <x:c r="S276" s="23" t="str"/>
      <x:c r="T276" s="23" t="str">
        <x:v>https://pixelmonmod.com/wiki/Kirlia</x:v>
      </x:c>
    </x:row>
    <x:row r="277" ht="54" customHeight="1">
      <x:c r="A277" s="27" t="n">
        <x:v>282</x:v>
      </x:c>
      <x:c r="B277" s="23" t="str">
        <x:v>Gardevoir</x:v>
      </x:c>
      <x:c r="C277" s="23" t="str">
        <x:v>Gardevoir</x:v>
      </x:c>
      <x:c r="D277" s="23" t="str">
        <x:v>Psy</x:v>
      </x:c>
      <x:c r="E277" s="23" t="str">
        <x:v>Fée</x:v>
      </x:c>
      <x:c r="F277" s="23" t="str">
        <x:v>Ultra Rare</x:v>
      </x:c>
      <x:c r="G277" s="45" t="n">
        <x:v>75000</x:v>
      </x:c>
      <x:c r="H277" s="45" t="n">
        <x:f>IF(G277="","",ROUNDUP(G277*3,0))</x:f>
        <x:v>225000</x:v>
      </x:c>
      <x:c r="I277" s="41" t="n">
        <x:v>1</x:v>
      </x:c>
      <x:c r="J277" s="42" t="n">
        <x:v>68</x:v>
      </x:c>
      <x:c r="K277" s="42" t="n">
        <x:v>65</x:v>
      </x:c>
      <x:c r="L277" s="42" t="n">
        <x:v>65</x:v>
      </x:c>
      <x:c r="M277" s="42" t="n">
        <x:v>125</x:v>
      </x:c>
      <x:c r="N277" s="42" t="n">
        <x:v>115</x:v>
      </x:c>
      <x:c r="O277" s="42" t="n">
        <x:v>80</x:v>
      </x:c>
      <x:c r="P277" s="43" t="n">
        <x:f>IF(COUNT(J277:O277)=0,"",SUM(J277:O277))</x:f>
        <x:v>518</x:v>
      </x:c>
      <x:c r="Q277" s="23" t="str">
        <x:v>4 lignes de spawn</x:v>
      </x:c>
      <x:c r="R277" s="23" t="str">
        <x:v>Gardevoir peut prédire l'avenir. S'il ressent un danger imminent pour son Dresseur, on dit qu'il libère toute sa puissance psychocinétique.</x:v>
      </x:c>
      <x:c r="S277" s="23" t="str"/>
      <x:c r="T277" s="23" t="str">
        <x:v>https://pixelmonmod.com/wiki/Gardevoir</x:v>
      </x:c>
    </x:row>
    <x:row r="278" ht="54" customHeight="1">
      <x:c r="A278" s="27" t="n">
        <x:v>283</x:v>
      </x:c>
      <x:c r="B278" s="23" t="str">
        <x:v>Arakdo</x:v>
      </x:c>
      <x:c r="C278" s="23" t="str">
        <x:v>Surskit</x:v>
      </x:c>
      <x:c r="D278" s="23" t="str">
        <x:v>Insecte</x:v>
      </x:c>
      <x:c r="E278" s="23" t="str">
        <x:v>Eau</x:v>
      </x:c>
      <x:c r="F278" s="23" t="str">
        <x:v>Uncommon</x:v>
      </x:c>
      <x:c r="G278" s="45" t="n">
        <x:v>5000</x:v>
      </x:c>
      <x:c r="H278" s="45" t="n">
        <x:f>IF(G278="","",ROUNDUP(G278*3,0))</x:f>
        <x:v>15000</x:v>
      </x:c>
      <x:c r="I278" s="41" t="n">
        <x:v>1</x:v>
      </x:c>
      <x:c r="J278" s="42" t="n">
        <x:v>40</x:v>
      </x:c>
      <x:c r="K278" s="42" t="n">
        <x:v>30</x:v>
      </x:c>
      <x:c r="L278" s="42" t="n">
        <x:v>32</x:v>
      </x:c>
      <x:c r="M278" s="42" t="n">
        <x:v>50</x:v>
      </x:c>
      <x:c r="N278" s="42" t="n">
        <x:v>52</x:v>
      </x:c>
      <x:c r="O278" s="42" t="n">
        <x:v>65</x:v>
      </x:c>
      <x:c r="P278" s="43" t="n">
        <x:f>IF(COUNT(J278:O278)=0,"",SUM(J278:O278))</x:f>
        <x:v>269</x:v>
      </x:c>
      <x:c r="Q278" s="23" t="str">
        <x:v>4 lignes de spawn</x:v>
      </x:c>
      <x:c r="R278" s="23" t="str">
        <x:v>Arakdo sécrète une huile par les extrémités de ses pattes, ce qui lui permet de glisser sur l'eau comme s'il patinait. Ce Pokémon se nourrit de micro-organismes vivant dans les étangs et les lacs.</x:v>
      </x:c>
      <x:c r="S278" s="23" t="str"/>
      <x:c r="T278" s="23" t="str">
        <x:v>https://pixelmonmod.com/wiki/Surskit</x:v>
      </x:c>
    </x:row>
    <x:row r="279" ht="54" customHeight="1">
      <x:c r="A279" s="27" t="n">
        <x:v>284</x:v>
      </x:c>
      <x:c r="B279" s="23" t="str">
        <x:v>Maskadra</x:v>
      </x:c>
      <x:c r="C279" s="23" t="str">
        <x:v>Masquerain</x:v>
      </x:c>
      <x:c r="D279" s="23" t="str">
        <x:v>Insecte</x:v>
      </x:c>
      <x:c r="E279" s="23" t="str">
        <x:v>Vol</x:v>
      </x:c>
      <x:c r="F279" s="23" t="str">
        <x:v>Ultra Rare</x:v>
      </x:c>
      <x:c r="G279" s="45" t="n">
        <x:v>75000</x:v>
      </x:c>
      <x:c r="H279" s="45" t="n">
        <x:f>IF(G279="","",ROUNDUP(G279*3,0))</x:f>
        <x:v>225000</x:v>
      </x:c>
      <x:c r="I279" s="41" t="n">
        <x:v>1</x:v>
      </x:c>
      <x:c r="J279" s="42" t="n">
        <x:v>70</x:v>
      </x:c>
      <x:c r="K279" s="42" t="n">
        <x:v>60</x:v>
      </x:c>
      <x:c r="L279" s="42" t="n">
        <x:v>62</x:v>
      </x:c>
      <x:c r="M279" s="42" t="n">
        <x:v>100</x:v>
      </x:c>
      <x:c r="N279" s="42" t="n">
        <x:v>82</x:v>
      </x:c>
      <x:c r="O279" s="42" t="n">
        <x:v>80</x:v>
      </x:c>
      <x:c r="P279" s="43" t="n">
        <x:f>IF(COUNT(J279:O279)=0,"",SUM(J279:O279))</x:f>
        <x:v>454</x:v>
      </x:c>
      <x:c r="Q279" s="23" t="str">
        <x:v>4 lignes de spawn</x:v>
      </x:c>
      <x:c r="R279" s="23" t="str">
        <x:v>Maskadra intimide ses ennemis grâce aux motifs en forme d'yeux sur ses antennes. Ce Pokémon bat des quatre ailes pour voler librement dans toutes les directions — même sur les côtés et en arrière — comme un hélicoptère.</x:v>
      </x:c>
      <x:c r="S279" s="23" t="str"/>
      <x:c r="T279" s="23" t="str">
        <x:v>https://pixelmonmod.com/wiki/Masquerain</x:v>
      </x:c>
    </x:row>
    <x:row r="280" ht="54" customHeight="1">
      <x:c r="A280" s="27" t="n">
        <x:v>285</x:v>
      </x:c>
      <x:c r="B280" s="23" t="str">
        <x:v>Balignon</x:v>
      </x:c>
      <x:c r="C280" s="23" t="str">
        <x:v>Shroomish</x:v>
      </x:c>
      <x:c r="D280" s="23" t="str">
        <x:v>Plante</x:v>
      </x:c>
      <x:c r="E280" s="23" t="str"/>
      <x:c r="F280" s="23" t="str">
        <x:v>Uncommon / Rare</x:v>
      </x:c>
      <x:c r="G280" s="45" t="n">
        <x:v>12000</x:v>
      </x:c>
      <x:c r="H280" s="45" t="n">
        <x:f>IF(G280="","",ROUNDUP(G280*3,0))</x:f>
        <x:v>36000</x:v>
      </x:c>
      <x:c r="I280" s="41" t="n">
        <x:v>0.4</x:v>
      </x:c>
      <x:c r="J280" s="42" t="n">
        <x:v>60</x:v>
      </x:c>
      <x:c r="K280" s="42" t="n">
        <x:v>40</x:v>
      </x:c>
      <x:c r="L280" s="42" t="n">
        <x:v>60</x:v>
      </x:c>
      <x:c r="M280" s="42" t="n">
        <x:v>40</x:v>
      </x:c>
      <x:c r="N280" s="42" t="n">
        <x:v>60</x:v>
      </x:c>
      <x:c r="O280" s="42" t="n">
        <x:v>35</x:v>
      </x:c>
      <x:c r="P280" s="43" t="n">
        <x:f>IF(COUNT(J280:O280)=0,"",SUM(J280:O280))</x:f>
        <x:v>295</x:v>
      </x:c>
      <x:c r="Q280" s="23" t="str">
        <x:v>5 lignes de spawn</x:v>
      </x:c>
      <x:c r="R280" s="23" t="str">
        <x:v>Balignon vit dans un sol humide, dans les profondeurs des forêts sombres. Il reste souvent immobile sous les feuilles tombées. Ce Pokémon se nourrit de compost fait de feuilles pourries.</x:v>
      </x:c>
      <x:c r="S280" s="23" t="str">
        <x:v>Égalité de fréquence; prix provisoire basé sur le palier le plus élevé.</x:v>
      </x:c>
      <x:c r="T280" s="23" t="str">
        <x:v>https://pixelmonmod.com/wiki/Shroomish</x:v>
      </x:c>
    </x:row>
    <x:row r="281" ht="54" customHeight="1">
      <x:c r="A281" s="27" t="n">
        <x:v>286</x:v>
      </x:c>
      <x:c r="B281" s="23" t="str">
        <x:v>Chapignon</x:v>
      </x:c>
      <x:c r="C281" s="23" t="str">
        <x:v>Breloom</x:v>
      </x:c>
      <x:c r="D281" s="23" t="str">
        <x:v>Plante</x:v>
      </x:c>
      <x:c r="E281" s="23" t="str">
        <x:v>Combat</x:v>
      </x:c>
      <x:c r="F281" s="23" t="str">
        <x:v>Ultra Rare</x:v>
      </x:c>
      <x:c r="G281" s="45" t="n">
        <x:v>75000</x:v>
      </x:c>
      <x:c r="H281" s="45" t="n">
        <x:f>IF(G281="","",ROUNDUP(G281*3,0))</x:f>
        <x:v>225000</x:v>
      </x:c>
      <x:c r="I281" s="41" t="n">
        <x:v>1</x:v>
      </x:c>
      <x:c r="J281" s="42" t="n">
        <x:v>60</x:v>
      </x:c>
      <x:c r="K281" s="42" t="n">
        <x:v>130</x:v>
      </x:c>
      <x:c r="L281" s="42" t="n">
        <x:v>80</x:v>
      </x:c>
      <x:c r="M281" s="42" t="n">
        <x:v>60</x:v>
      </x:c>
      <x:c r="N281" s="42" t="n">
        <x:v>60</x:v>
      </x:c>
      <x:c r="O281" s="42" t="n">
        <x:v>70</x:v>
      </x:c>
      <x:c r="P281" s="43" t="n">
        <x:f>IF(COUNT(J281:O281)=0,"",SUM(J281:O281))</x:f>
        <x:v>460</x:v>
      </x:c>
      <x:c r="Q281" s="23" t="str">
        <x:v>3 lignes de spawn</x:v>
      </x:c>
      <x:c r="R281" s="23" t="str">
        <x:v>Chapignon fond sur son ennemi avec un jeu de jambes léger et vif, puis lance des coups de poing avec ses bras extensibles. Sa technique de combat ferait pâlir les boxeurs.</x:v>
      </x:c>
      <x:c r="S281" s="23" t="str"/>
      <x:c r="T281" s="23" t="str">
        <x:v>https://pixelmonmod.com/wiki/Breloom</x:v>
      </x:c>
    </x:row>
    <x:row r="282" ht="54" customHeight="1">
      <x:c r="A282" s="27" t="n">
        <x:v>287</x:v>
      </x:c>
      <x:c r="B282" s="23" t="str">
        <x:v>Parecool</x:v>
      </x:c>
      <x:c r="C282" s="23" t="str">
        <x:v>Slakoth</x:v>
      </x:c>
      <x:c r="D282" s="23" t="str">
        <x:v>Normal</x:v>
      </x:c>
      <x:c r="E282" s="23" t="str"/>
      <x:c r="F282" s="23" t="str">
        <x:v>Uncommon / Rare</x:v>
      </x:c>
      <x:c r="G282" s="45" t="n">
        <x:v>12000</x:v>
      </x:c>
      <x:c r="H282" s="45" t="n">
        <x:f>IF(G282="","",ROUNDUP(G282*3,0))</x:f>
        <x:v>36000</x:v>
      </x:c>
      <x:c r="I282" s="41" t="n">
        <x:v>0.5</x:v>
      </x:c>
      <x:c r="J282" s="42" t="n">
        <x:v>60</x:v>
      </x:c>
      <x:c r="K282" s="42" t="n">
        <x:v>60</x:v>
      </x:c>
      <x:c r="L282" s="42" t="n">
        <x:v>60</x:v>
      </x:c>
      <x:c r="M282" s="42" t="n">
        <x:v>35</x:v>
      </x:c>
      <x:c r="N282" s="42" t="n">
        <x:v>35</x:v>
      </x:c>
      <x:c r="O282" s="42" t="n">
        <x:v>30</x:v>
      </x:c>
      <x:c r="P282" s="43" t="n">
        <x:f>IF(COUNT(J282:O282)=0,"",SUM(J282:O282))</x:f>
        <x:v>280</x:v>
      </x:c>
      <x:c r="Q282" s="23" t="str">
        <x:v>2 lignes de spawn</x:v>
      </x:c>
      <x:c r="R282" s="23" t="str">
        <x:v>Parecool passe plus de 20 heures par jour affalé. Comme il bouge très peu, il n'a pas besoin de beaucoup de nourriture : trois feuilles lui suffisent pour la journée.</x:v>
      </x:c>
      <x:c r="S282" s="23" t="str">
        <x:v>Égalité de fréquence; prix provisoire basé sur le palier le plus élevé.</x:v>
      </x:c>
      <x:c r="T282" s="23" t="str">
        <x:v>https://pixelmonmod.com/wiki/Slakoth</x:v>
      </x:c>
    </x:row>
    <x:row r="283" ht="54" customHeight="1">
      <x:c r="A283" s="27" t="n">
        <x:v>288</x:v>
      </x:c>
      <x:c r="B283" s="23" t="str">
        <x:v>Vigoroth</x:v>
      </x:c>
      <x:c r="C283" s="23" t="str">
        <x:v>Vigoroth</x:v>
      </x:c>
      <x:c r="D283" s="23" t="str">
        <x:v>Normal</x:v>
      </x:c>
      <x:c r="E283" s="23" t="str"/>
      <x:c r="F283" s="23" t="str">
        <x:v>Ultra Rare</x:v>
      </x:c>
      <x:c r="G283" s="45" t="n">
        <x:v>75000</x:v>
      </x:c>
      <x:c r="H283" s="45" t="n">
        <x:f>IF(G283="","",ROUNDUP(G283*3,0))</x:f>
        <x:v>225000</x:v>
      </x:c>
      <x:c r="I283" s="41" t="n">
        <x:v>1</x:v>
      </x:c>
      <x:c r="J283" s="42" t="n">
        <x:v>80</x:v>
      </x:c>
      <x:c r="K283" s="42" t="n">
        <x:v>80</x:v>
      </x:c>
      <x:c r="L283" s="42" t="n">
        <x:v>80</x:v>
      </x:c>
      <x:c r="M283" s="42" t="n">
        <x:v>55</x:v>
      </x:c>
      <x:c r="N283" s="42" t="n">
        <x:v>55</x:v>
      </x:c>
      <x:c r="O283" s="42" t="n">
        <x:v>90</x:v>
      </x:c>
      <x:c r="P283" s="43" t="n">
        <x:f>IF(COUNT(J283:O283)=0,"",SUM(J283:O283))</x:f>
        <x:v>440</x:v>
      </x:c>
      <x:c r="Q283" s="23" t="str">
        <x:v>1 lignes de spawn</x:v>
      </x:c>
      <x:c r="R283" s="23" t="str">
        <x:v>Vigoroth est constamment fébrile et excité, prêt à se déchaîner. Il ne supporte pas de rester immobile, même une minute. Son niveau de stress augmente s'il ne peut pas bouger constamment.</x:v>
      </x:c>
      <x:c r="S283" s="23" t="str"/>
      <x:c r="T283" s="23" t="str">
        <x:v>https://pixelmonmod.com/wiki/Vigoroth</x:v>
      </x:c>
    </x:row>
    <x:row r="284" ht="54" customHeight="1">
      <x:c r="A284" s="27" t="n">
        <x:v>289</x:v>
      </x:c>
      <x:c r="B284" s="23" t="str">
        <x:v>Monaflèmit</x:v>
      </x:c>
      <x:c r="C284" s="23" t="str">
        <x:v>Slaking</x:v>
      </x:c>
      <x:c r="D284" s="23" t="str">
        <x:v>Normal</x:v>
      </x:c>
      <x:c r="E284" s="23" t="str"/>
      <x:c r="F284" s="23" t="str">
        <x:v>Ultra Rare</x:v>
      </x:c>
      <x:c r="G284" s="45" t="n">
        <x:v>75000</x:v>
      </x:c>
      <x:c r="H284" s="45" t="n">
        <x:f>IF(G284="","",ROUNDUP(G284*3,0))</x:f>
        <x:v>225000</x:v>
      </x:c>
      <x:c r="I284" s="41" t="n">
        <x:v>1</x:v>
      </x:c>
      <x:c r="J284" s="42" t="n">
        <x:v>150</x:v>
      </x:c>
      <x:c r="K284" s="42" t="n">
        <x:v>160</x:v>
      </x:c>
      <x:c r="L284" s="42" t="n">
        <x:v>100</x:v>
      </x:c>
      <x:c r="M284" s="42" t="n">
        <x:v>95</x:v>
      </x:c>
      <x:c r="N284" s="42" t="n">
        <x:v>65</x:v>
      </x:c>
      <x:c r="O284" s="42" t="n">
        <x:v>100</x:v>
      </x:c>
      <x:c r="P284" s="43" t="n">
        <x:f>IF(COUNT(J284:O284)=0,"",SUM(J284:O284))</x:f>
        <x:v>670</x:v>
      </x:c>
      <x:c r="Q284" s="23" t="str">
        <x:v>1 lignes de spawn</x:v>
      </x:c>
      <x:c r="R284" s="23" t="str">
        <x:v>Monaflèmit passe ses journées à paresser. Il mange l'herbe située à portée de main. Une fois toute l'herbe consommée, il se déplace à contrecœur vers un autre endroit.</x:v>
      </x:c>
      <x:c r="S284" s="23" t="str"/>
      <x:c r="T284" s="23" t="str">
        <x:v>https://pixelmonmod.com/wiki/Slaking</x:v>
      </x:c>
    </x:row>
    <x:row r="285" ht="54" customHeight="1">
      <x:c r="A285" s="27" t="n">
        <x:v>290</x:v>
      </x:c>
      <x:c r="B285" s="23" t="str">
        <x:v>Ningale</x:v>
      </x:c>
      <x:c r="C285" s="23" t="str">
        <x:v>Nincada</x:v>
      </x:c>
      <x:c r="D285" s="23" t="str">
        <x:v>Insecte</x:v>
      </x:c>
      <x:c r="E285" s="23" t="str">
        <x:v>Sol</x:v>
      </x:c>
      <x:c r="F285" s="23" t="str">
        <x:v>Uncommon</x:v>
      </x:c>
      <x:c r="G285" s="45" t="n">
        <x:v>5000</x:v>
      </x:c>
      <x:c r="H285" s="45" t="n">
        <x:f>IF(G285="","",ROUNDUP(G285*3,0))</x:f>
        <x:v>15000</x:v>
      </x:c>
      <x:c r="I285" s="41" t="n">
        <x:v>1</x:v>
      </x:c>
      <x:c r="J285" s="42" t="n">
        <x:v>31</x:v>
      </x:c>
      <x:c r="K285" s="42" t="n">
        <x:v>45</x:v>
      </x:c>
      <x:c r="L285" s="42" t="n">
        <x:v>90</x:v>
      </x:c>
      <x:c r="M285" s="42" t="n">
        <x:v>30</x:v>
      </x:c>
      <x:c r="N285" s="42" t="n">
        <x:v>30</x:v>
      </x:c>
      <x:c r="O285" s="42" t="n">
        <x:v>40</x:v>
      </x:c>
      <x:c r="P285" s="43" t="n">
        <x:f>IF(COUNT(J285:O285)=0,"",SUM(J285:O285))</x:f>
        <x:v>266</x:v>
      </x:c>
      <x:c r="Q285" s="23" t="str">
        <x:v>4 lignes de spawn</x:v>
      </x:c>
      <x:c r="R285" s="23" t="str">
        <x:v>Ningale vit pendant de longues années sous terre, dans l'obscurité totale. Il absorbe les nutriments des racines des arbres. Il reste immobile en attendant d'évoluer.</x:v>
      </x:c>
      <x:c r="S285" s="23" t="str"/>
      <x:c r="T285" s="23" t="str">
        <x:v>https://pixelmonmod.com/wiki/Nincada</x:v>
      </x:c>
    </x:row>
    <x:row r="286" ht="54" customHeight="1">
      <x:c r="A286" s="27" t="n">
        <x:v>291</x:v>
      </x:c>
      <x:c r="B286" s="23" t="str">
        <x:v>Ninjask</x:v>
      </x:c>
      <x:c r="C286" s="23" t="str">
        <x:v>Ninjask</x:v>
      </x:c>
      <x:c r="D286" s="23" t="str">
        <x:v>Insecte</x:v>
      </x:c>
      <x:c r="E286" s="23" t="str">
        <x:v>Vol</x:v>
      </x:c>
      <x:c r="F286" s="23" t="str">
        <x:v>Ultra Rare</x:v>
      </x:c>
      <x:c r="G286" s="45" t="n">
        <x:v>75000</x:v>
      </x:c>
      <x:c r="H286" s="45" t="n">
        <x:f>IF(G286="","",ROUNDUP(G286*3,0))</x:f>
        <x:v>225000</x:v>
      </x:c>
      <x:c r="I286" s="41" t="n">
        <x:v>0.667</x:v>
      </x:c>
      <x:c r="J286" s="42" t="n">
        <x:v>61</x:v>
      </x:c>
      <x:c r="K286" s="42" t="n">
        <x:v>90</x:v>
      </x:c>
      <x:c r="L286" s="42" t="n">
        <x:v>45</x:v>
      </x:c>
      <x:c r="M286" s="42" t="n">
        <x:v>50</x:v>
      </x:c>
      <x:c r="N286" s="42" t="n">
        <x:v>50</x:v>
      </x:c>
      <x:c r="O286" s="42" t="n">
        <x:v>160</x:v>
      </x:c>
      <x:c r="P286" s="43" t="n">
        <x:f>IF(COUNT(J286:O286)=0,"",SUM(J286:O286))</x:f>
        <x:v>456</x:v>
      </x:c>
      <x:c r="Q286" s="23" t="str">
        <x:v>3 lignes de spawn</x:v>
      </x:c>
      <x:c r="R286" s="23" t="str">
        <x:v>Ninjask se déplace à une vitesse si élevée qu'il en devient invisible, même si son cri reste clairement audible. Pour cette raison, on a longtemps pensé qu'il était invisible.</x:v>
      </x:c>
      <x:c r="S286" s="23" t="str"/>
      <x:c r="T286" s="23" t="str">
        <x:v>https://pixelmonmod.com/wiki/Ninjask</x:v>
      </x:c>
    </x:row>
    <x:row r="287" ht="54" customHeight="1">
      <x:c r="A287" s="27" t="n">
        <x:v>292</x:v>
      </x:c>
      <x:c r="B287" s="23" t="str">
        <x:v>Munja</x:v>
      </x:c>
      <x:c r="C287" s="23" t="str">
        <x:v>Shedinja</x:v>
      </x:c>
      <x:c r="D287" s="23" t="str">
        <x:v>Insecte</x:v>
      </x:c>
      <x:c r="E287" s="23" t="str">
        <x:v>Spectre</x:v>
      </x:c>
      <x:c r="F287" s="23" t="str">
        <x:v>Ultra Rare</x:v>
      </x:c>
      <x:c r="G287" s="45" t="n">
        <x:v>75000</x:v>
      </x:c>
      <x:c r="H287" s="45" t="n">
        <x:f>IF(G287="","",ROUNDUP(G287*3,0))</x:f>
        <x:v>225000</x:v>
      </x:c>
      <x:c r="I287" s="41" t="n">
        <x:v>1</x:v>
      </x:c>
      <x:c r="J287" s="42" t="n">
        <x:v>1</x:v>
      </x:c>
      <x:c r="K287" s="42" t="n">
        <x:v>90</x:v>
      </x:c>
      <x:c r="L287" s="42" t="n">
        <x:v>45</x:v>
      </x:c>
      <x:c r="M287" s="42" t="n">
        <x:v>30</x:v>
      </x:c>
      <x:c r="N287" s="42" t="n">
        <x:v>30</x:v>
      </x:c>
      <x:c r="O287" s="42" t="n">
        <x:v>40</x:v>
      </x:c>
      <x:c r="P287" s="43" t="n">
        <x:f>IF(COUNT(J287:O287)=0,"",SUM(J287:O287))</x:f>
        <x:v>236</x:v>
      </x:c>
      <x:c r="Q287" s="23" t="str">
        <x:v>4 lignes de spawn</x:v>
      </x:c>
      <x:c r="R287" s="23" t="str">
        <x:v>Le corps rigide de Munja ne bouge jamais, pas même d'un millimètre. Il semble être une simple coquille vide. On raconte que ce Pokémon vole l'âme de quiconque regarde à l'intérieur de sa carapace par l'ouverture de son dos.</x:v>
      </x:c>
      <x:c r="S287" s="23" t="str"/>
      <x:c r="T287" s="23" t="str">
        <x:v>https://pixelmonmod.com/wiki/Shedinja</x:v>
      </x:c>
    </x:row>
    <x:row r="288" ht="54" customHeight="1">
      <x:c r="A288" s="27" t="n">
        <x:v>293</x:v>
      </x:c>
      <x:c r="B288" s="23" t="str">
        <x:v>Chuchmur</x:v>
      </x:c>
      <x:c r="C288" s="23" t="str">
        <x:v>Whismur</x:v>
      </x:c>
      <x:c r="D288" s="23" t="str">
        <x:v>Normal</x:v>
      </x:c>
      <x:c r="E288" s="23" t="str"/>
      <x:c r="F288" s="23" t="str">
        <x:v>Uncommon</x:v>
      </x:c>
      <x:c r="G288" s="45" t="n">
        <x:v>5000</x:v>
      </x:c>
      <x:c r="H288" s="45" t="n">
        <x:f>IF(G288="","",ROUNDUP(G288*3,0))</x:f>
        <x:v>15000</x:v>
      </x:c>
      <x:c r="I288" s="41" t="n">
        <x:v>0.6</x:v>
      </x:c>
      <x:c r="J288" s="42" t="n">
        <x:v>64</x:v>
      </x:c>
      <x:c r="K288" s="42" t="n">
        <x:v>51</x:v>
      </x:c>
      <x:c r="L288" s="42" t="n">
        <x:v>23</x:v>
      </x:c>
      <x:c r="M288" s="42" t="n">
        <x:v>51</x:v>
      </x:c>
      <x:c r="N288" s="42" t="n">
        <x:v>23</x:v>
      </x:c>
      <x:c r="O288" s="42" t="n">
        <x:v>28</x:v>
      </x:c>
      <x:c r="P288" s="43" t="n">
        <x:f>IF(COUNT(J288:O288)=0,"",SUM(J288:O288))</x:f>
        <x:v>240</x:v>
      </x:c>
      <x:c r="Q288" s="23" t="str">
        <x:v>5 lignes de spawn</x:v>
      </x:c>
      <x:c r="R288" s="23" t="str">
        <x:v>Normalement, la voix de Chuchmur est très faible—à peine audible, même en tendant l'oreille. Mais s'il ressent un danger, il se met à hurler à un volume assourdissant.</x:v>
      </x:c>
      <x:c r="S288" s="23" t="str"/>
      <x:c r="T288" s="23" t="str">
        <x:v>https://pixelmonmod.com/wiki/Whismur</x:v>
      </x:c>
    </x:row>
    <x:row r="289" ht="54" customHeight="1">
      <x:c r="A289" s="27" t="n">
        <x:v>294</x:v>
      </x:c>
      <x:c r="B289" s="23" t="str">
        <x:v>Ramboum</x:v>
      </x:c>
      <x:c r="C289" s="23" t="str">
        <x:v>Loudred</x:v>
      </x:c>
      <x:c r="D289" s="23" t="str">
        <x:v>Normal</x:v>
      </x:c>
      <x:c r="E289" s="23" t="str"/>
      <x:c r="F289" s="23" t="str">
        <x:v>Very Rare / Ultra Rare</x:v>
      </x:c>
      <x:c r="G289" s="45" t="n">
        <x:v>75000</x:v>
      </x:c>
      <x:c r="H289" s="45" t="n">
        <x:f>IF(G289="","",ROUNDUP(G289*3,0))</x:f>
        <x:v>225000</x:v>
      </x:c>
      <x:c r="I289" s="41" t="n">
        <x:v>0.5</x:v>
      </x:c>
      <x:c r="J289" s="42" t="n">
        <x:v>84</x:v>
      </x:c>
      <x:c r="K289" s="42" t="n">
        <x:v>71</x:v>
      </x:c>
      <x:c r="L289" s="42" t="n">
        <x:v>43</x:v>
      </x:c>
      <x:c r="M289" s="42" t="n">
        <x:v>71</x:v>
      </x:c>
      <x:c r="N289" s="42" t="n">
        <x:v>43</x:v>
      </x:c>
      <x:c r="O289" s="42" t="n">
        <x:v>48</x:v>
      </x:c>
      <x:c r="P289" s="43" t="n">
        <x:f>IF(COUNT(J289:O289)=0,"",SUM(J289:O289))</x:f>
        <x:v>360</x:v>
      </x:c>
      <x:c r="Q289" s="23" t="str">
        <x:v>2 lignes de spawn</x:v>
      </x:c>
      <x:c r="R289" s="23" t="str">
        <x:v>Le hurlement de Ramboum peut réduire en miettes une maison en bois. Il utilise sa voix pour punir ses ennemis. Ses oreilles rondes agissent comme des haut-parleurs.</x:v>
      </x:c>
      <x:c r="S289" s="23" t="str">
        <x:v>Égalité de fréquence; prix provisoire basé sur le palier le plus élevé. Very Rare aligné sur le palier Super Rare (provisoire).</x:v>
      </x:c>
      <x:c r="T289" s="23" t="str">
        <x:v>https://pixelmonmod.com/wiki/Loudred</x:v>
      </x:c>
    </x:row>
    <x:row r="290" ht="54" customHeight="1">
      <x:c r="A290" s="27" t="n">
        <x:v>295</x:v>
      </x:c>
      <x:c r="B290" s="23" t="str">
        <x:v>Brouhabam</x:v>
      </x:c>
      <x:c r="C290" s="23" t="str">
        <x:v>Exploud</x:v>
      </x:c>
      <x:c r="D290" s="23" t="str">
        <x:v>Normal</x:v>
      </x:c>
      <x:c r="E290" s="23" t="str"/>
      <x:c r="F290" s="23" t="str">
        <x:v>Ultra Rare</x:v>
      </x:c>
      <x:c r="G290" s="45" t="n">
        <x:v>75000</x:v>
      </x:c>
      <x:c r="H290" s="45" t="n">
        <x:f>IF(G290="","",ROUNDUP(G290*3,0))</x:f>
        <x:v>225000</x:v>
      </x:c>
      <x:c r="I290" s="41" t="n">
        <x:v>1</x:v>
      </x:c>
      <x:c r="J290" s="42" t="n">
        <x:v>104</x:v>
      </x:c>
      <x:c r="K290" s="42" t="n">
        <x:v>91</x:v>
      </x:c>
      <x:c r="L290" s="42" t="n">
        <x:v>63</x:v>
      </x:c>
      <x:c r="M290" s="42" t="n">
        <x:v>91</x:v>
      </x:c>
      <x:c r="N290" s="42" t="n">
        <x:v>73</x:v>
      </x:c>
      <x:c r="O290" s="42" t="n">
        <x:v>68</x:v>
      </x:c>
      <x:c r="P290" s="43" t="n">
        <x:f>IF(COUNT(J290:O290)=0,"",SUM(J290:O290))</x:f>
        <x:v>490</x:v>
      </x:c>
      <x:c r="Q290" s="23" t="str">
        <x:v>1 lignes de spawn</x:v>
      </x:c>
      <x:c r="R290" s="23" t="str">
        <x:v>Brouhabam déclenche des tremblements de terre grâce à ses rugissements. Lorsqu'il inspire violemment par ses conduits, c'est le signe qu'il prépare un énorme cri.</x:v>
      </x:c>
      <x:c r="S290" s="23" t="str"/>
      <x:c r="T290" s="23" t="str">
        <x:v>https://pixelmonmod.com/wiki/Exploud</x:v>
      </x:c>
    </x:row>
    <x:row r="291" ht="54" customHeight="1">
      <x:c r="A291" s="27" t="n">
        <x:v>296</x:v>
      </x:c>
      <x:c r="B291" s="23" t="str">
        <x:v>Makuhita</x:v>
      </x:c>
      <x:c r="C291" s="23" t="str">
        <x:v>Makuhita</x:v>
      </x:c>
      <x:c r="D291" s="23" t="str">
        <x:v>Combat</x:v>
      </x:c>
      <x:c r="E291" s="23" t="str"/>
      <x:c r="F291" s="23" t="str">
        <x:v>Uncommon</x:v>
      </x:c>
      <x:c r="G291" s="45" t="n">
        <x:v>5000</x:v>
      </x:c>
      <x:c r="H291" s="45" t="n">
        <x:f>IF(G291="","",ROUNDUP(G291*3,0))</x:f>
        <x:v>15000</x:v>
      </x:c>
      <x:c r="I291" s="41" t="n">
        <x:v>1</x:v>
      </x:c>
      <x:c r="J291" s="42" t="n">
        <x:v>72</x:v>
      </x:c>
      <x:c r="K291" s="42" t="n">
        <x:v>60</x:v>
      </x:c>
      <x:c r="L291" s="42" t="n">
        <x:v>30</x:v>
      </x:c>
      <x:c r="M291" s="42" t="n">
        <x:v>20</x:v>
      </x:c>
      <x:c r="N291" s="42" t="n">
        <x:v>30</x:v>
      </x:c>
      <x:c r="O291" s="42" t="n">
        <x:v>25</x:v>
      </x:c>
      <x:c r="P291" s="43" t="n">
        <x:f>IF(COUNT(J291:O291)=0,"",SUM(J291:O291))</x:f>
        <x:v>237</x:v>
      </x:c>
      <x:c r="Q291" s="23" t="str">
        <x:v>1 lignes de spawn</x:v>
      </x:c>
      <x:c r="R291" s="23" t="str">
        <x:v>Makuhita est tenace : il se relève et attaque encore et encore, quel que soit le nombre de fois où il est mis au tapis. À chaque fois qu'il se relève, il accumule de l'énergie en vue de son évolution.</x:v>
      </x:c>
      <x:c r="S291" s="23" t="str"/>
      <x:c r="T291" s="23" t="str">
        <x:v>https://pixelmonmod.com/wiki/Makuhita</x:v>
      </x:c>
    </x:row>
    <x:row r="292" ht="54" customHeight="1">
      <x:c r="A292" s="27" t="n">
        <x:v>297</x:v>
      </x:c>
      <x:c r="B292" s="23" t="str">
        <x:v>Hariyama</x:v>
      </x:c>
      <x:c r="C292" s="23" t="str">
        <x:v>Hariyama</x:v>
      </x:c>
      <x:c r="D292" s="23" t="str">
        <x:v>Combat</x:v>
      </x:c>
      <x:c r="E292" s="23" t="str"/>
      <x:c r="F292" s="23" t="str">
        <x:v>Ultra Rare</x:v>
      </x:c>
      <x:c r="G292" s="45" t="n">
        <x:v>75000</x:v>
      </x:c>
      <x:c r="H292" s="45" t="n">
        <x:f>IF(G292="","",ROUNDUP(G292*3,0))</x:f>
        <x:v>225000</x:v>
      </x:c>
      <x:c r="I292" s="41" t="n">
        <x:v>1</x:v>
      </x:c>
      <x:c r="J292" s="42" t="n">
        <x:v>144</x:v>
      </x:c>
      <x:c r="K292" s="42" t="n">
        <x:v>120</x:v>
      </x:c>
      <x:c r="L292" s="42" t="n">
        <x:v>60</x:v>
      </x:c>
      <x:c r="M292" s="42" t="n">
        <x:v>40</x:v>
      </x:c>
      <x:c r="N292" s="42" t="n">
        <x:v>60</x:v>
      </x:c>
      <x:c r="O292" s="42" t="n">
        <x:v>50</x:v>
      </x:c>
      <x:c r="P292" s="43" t="n">
        <x:f>IF(COUNT(J292:O292)=0,"",SUM(J292:O292))</x:f>
        <x:v>474</x:v>
      </x:c>
      <x:c r="Q292" s="23" t="str">
        <x:v>1 lignes de spawn</x:v>
      </x:c>
      <x:c r="R292" s="23" t="str">
        <x:v>Hariyama s'entraîne à donner des coups directs de la paume dans de nombreux endroits. Un seul coup de ses puissants bras peut briser un poteau téléphonique en deux.</x:v>
      </x:c>
      <x:c r="S292" s="23" t="str"/>
      <x:c r="T292" s="23" t="str">
        <x:v>https://pixelmonmod.com/wiki/Hariyama</x:v>
      </x:c>
    </x:row>
    <x:row r="293" ht="54" customHeight="1">
      <x:c r="A293" s="27" t="n">
        <x:v>298</x:v>
      </x:c>
      <x:c r="B293" s="23" t="str">
        <x:v>Azurill</x:v>
      </x:c>
      <x:c r="C293" s="23" t="str">
        <x:v>Azurill</x:v>
      </x:c>
      <x:c r="D293" s="23" t="str">
        <x:v>Normal</x:v>
      </x:c>
      <x:c r="E293" s="23" t="str">
        <x:v>Fée</x:v>
      </x:c>
      <x:c r="F293" s="23" t="str">
        <x:v>Non classé</x:v>
      </x:c>
      <x:c r="G293" s="45"/>
      <x:c r="H293" s="45" t="str">
        <x:f>IF(G293="","",ROUNDUP(G293*3,0))</x:f>
      </x:c>
      <x:c r="I293" s="41"/>
      <x:c r="J293" s="42" t="n">
        <x:v>50</x:v>
      </x:c>
      <x:c r="K293" s="42" t="n">
        <x:v>20</x:v>
      </x:c>
      <x:c r="L293" s="42" t="n">
        <x:v>40</x:v>
      </x:c>
      <x:c r="M293" s="42" t="n">
        <x:v>20</x:v>
      </x:c>
      <x:c r="N293" s="42" t="n">
        <x:v>40</x:v>
      </x:c>
      <x:c r="O293" s="42" t="n">
        <x:v>20</x:v>
      </x:c>
      <x:c r="P293" s="43" t="n">
        <x:f>IF(COUNT(J293:O293)=0,"",SUM(J293:O293))</x:f>
        <x:v>190</x:v>
      </x:c>
      <x:c r="Q293" s="23" t="str">
        <x:v>Aucune ligne classée</x:v>
      </x:c>
      <x:c r="R293" s="23" t="str">
        <x:v>Azurill fait tournoyer sa queue comme un lasso avant de la lancer. L'élan le projette lui aussi. Grâce à cette technique unique, l'un d'eux a réussi un lancer de plus de dix mètres.</x:v>
      </x:c>
      <x:c r="S293" s="23" t="str">
        <x:v>Aucune rareté wiki exploitable; prix à fixer.</x:v>
      </x:c>
      <x:c r="T293" s="23" t="str">
        <x:v>https://pixelmonmod.com/wiki/Azurill</x:v>
      </x:c>
    </x:row>
    <x:row r="294" ht="54" customHeight="1">
      <x:c r="A294" s="27" t="n">
        <x:v>299</x:v>
      </x:c>
      <x:c r="B294" s="23" t="str">
        <x:v>Tarinor</x:v>
      </x:c>
      <x:c r="C294" s="23" t="str">
        <x:v>Nosepass</x:v>
      </x:c>
      <x:c r="D294" s="23" t="str">
        <x:v>Roche</x:v>
      </x:c>
      <x:c r="E294" s="23" t="str"/>
      <x:c r="F294" s="23" t="str">
        <x:v>Ultra Rare</x:v>
      </x:c>
      <x:c r="G294" s="45" t="n">
        <x:v>75000</x:v>
      </x:c>
      <x:c r="H294" s="45" t="n">
        <x:f>IF(G294="","",ROUNDUP(G294*3,0))</x:f>
        <x:v>225000</x:v>
      </x:c>
      <x:c r="I294" s="41" t="n">
        <x:v>0.667</x:v>
      </x:c>
      <x:c r="J294" s="42" t="n">
        <x:v>30</x:v>
      </x:c>
      <x:c r="K294" s="42" t="n">
        <x:v>45</x:v>
      </x:c>
      <x:c r="L294" s="42" t="n">
        <x:v>135</x:v>
      </x:c>
      <x:c r="M294" s="42" t="n">
        <x:v>45</x:v>
      </x:c>
      <x:c r="N294" s="42" t="n">
        <x:v>90</x:v>
      </x:c>
      <x:c r="O294" s="42" t="n">
        <x:v>30</x:v>
      </x:c>
      <x:c r="P294" s="43" t="n">
        <x:f>IF(COUNT(J294:O294)=0,"",SUM(J294:O294))</x:f>
        <x:v>375</x:v>
      </x:c>
      <x:c r="Q294" s="23" t="str">
        <x:v>6 lignes de spawn</x:v>
      </x:c>
      <x:c r="R294" s="23" t="str">
        <x:v>Le nez magnétique de Tarinor pointe toujours vers le nord. Si deux de ces Pokémon se rencontrent de près, ils ne peuvent pas se regarder car leurs nez se repoussent.</x:v>
      </x:c>
      <x:c r="S294" s="23" t="str"/>
      <x:c r="T294" s="23" t="str">
        <x:v>https://pixelmonmod.com/wiki/Nosepass</x:v>
      </x:c>
    </x:row>
    <x:row r="295" ht="54" customHeight="1">
      <x:c r="A295" s="27" t="n">
        <x:v>300</x:v>
      </x:c>
      <x:c r="B295" s="23" t="str">
        <x:v>Skitty</x:v>
      </x:c>
      <x:c r="C295" s="23" t="str">
        <x:v>Skitty</x:v>
      </x:c>
      <x:c r="D295" s="23" t="str">
        <x:v>Normal</x:v>
      </x:c>
      <x:c r="E295" s="23" t="str"/>
      <x:c r="F295" s="23" t="str">
        <x:v>Uncommon</x:v>
      </x:c>
      <x:c r="G295" s="45" t="n">
        <x:v>5000</x:v>
      </x:c>
      <x:c r="H295" s="45" t="n">
        <x:f>IF(G295="","",ROUNDUP(G295*3,0))</x:f>
        <x:v>15000</x:v>
      </x:c>
      <x:c r="I295" s="41" t="n">
        <x:v>1</x:v>
      </x:c>
      <x:c r="J295" s="42" t="n">
        <x:v>50</x:v>
      </x:c>
      <x:c r="K295" s="42" t="n">
        <x:v>45</x:v>
      </x:c>
      <x:c r="L295" s="42" t="n">
        <x:v>45</x:v>
      </x:c>
      <x:c r="M295" s="42" t="n">
        <x:v>35</x:v>
      </x:c>
      <x:c r="N295" s="42" t="n">
        <x:v>35</x:v>
      </x:c>
      <x:c r="O295" s="42" t="n">
        <x:v>50</x:v>
      </x:c>
      <x:c r="P295" s="43" t="n">
        <x:f>IF(COUNT(J295:O295)=0,"",SUM(J295:O295))</x:f>
        <x:v>260</x:v>
      </x:c>
      <x:c r="Q295" s="23" t="str">
        <x:v>3 lignes de spawn</x:v>
      </x:c>
      <x:c r="R295" s="23" t="str">
        <x:v>Skitty est facilement fasciné par tout ce qui bouge et se met aussitôt à le poursuivre. Il court même après sa propre queue jusqu'à en avoir le tournis.</x:v>
      </x:c>
      <x:c r="S295" s="23" t="str"/>
      <x:c r="T295" s="23" t="str">
        <x:v>https://pixelmonmod.com/wiki/Skitty</x:v>
      </x:c>
    </x:row>
    <x:row r="296" ht="54" customHeight="1">
      <x:c r="A296" s="27" t="n">
        <x:v>301</x:v>
      </x:c>
      <x:c r="B296" s="23" t="str">
        <x:v>Delcatty</x:v>
      </x:c>
      <x:c r="C296" s="23" t="str">
        <x:v>Delcatty</x:v>
      </x:c>
      <x:c r="D296" s="23" t="str">
        <x:v>Normal</x:v>
      </x:c>
      <x:c r="E296" s="23" t="str"/>
      <x:c r="F296" s="23" t="str">
        <x:v>Ultra Rare</x:v>
      </x:c>
      <x:c r="G296" s="45" t="n">
        <x:v>75000</x:v>
      </x:c>
      <x:c r="H296" s="45" t="n">
        <x:f>IF(G296="","",ROUNDUP(G296*3,0))</x:f>
        <x:v>225000</x:v>
      </x:c>
      <x:c r="I296" s="41" t="n">
        <x:v>1</x:v>
      </x:c>
      <x:c r="J296" s="42" t="n">
        <x:v>70</x:v>
      </x:c>
      <x:c r="K296" s="42" t="n">
        <x:v>65</x:v>
      </x:c>
      <x:c r="L296" s="42" t="n">
        <x:v>65</x:v>
      </x:c>
      <x:c r="M296" s="42" t="n">
        <x:v>55</x:v>
      </x:c>
      <x:c r="N296" s="42" t="n">
        <x:v>55</x:v>
      </x:c>
      <x:c r="O296" s="42" t="n">
        <x:v>90</x:v>
      </x:c>
      <x:c r="P296" s="43" t="n">
        <x:f>IF(COUNT(J296:O296)=0,"",SUM(J296:O296))</x:f>
        <x:v>400</x:v>
      </x:c>
      <x:c r="Q296" s="23" t="str">
        <x:v>3 lignes de spawn</x:v>
      </x:c>
      <x:c r="R296" s="23" t="str">
        <x:v>Delcatty préfère mener une existence libre où il fait ce qui lui plaît à son propre rythme. Comme ce Pokémon mange et dort quand bon lui semble, ses routines quotidiennes sont totalement aléatoires.</x:v>
      </x:c>
      <x:c r="S296" s="23" t="str"/>
      <x:c r="T296" s="23" t="str">
        <x:v>https://pixelmonmod.com/wiki/Delcatty</x:v>
      </x:c>
    </x:row>
    <x:row r="297" ht="54" customHeight="1">
      <x:c r="A297" s="27" t="n">
        <x:v>302</x:v>
      </x:c>
      <x:c r="B297" s="23" t="str">
        <x:v>Ténéfix</x:v>
      </x:c>
      <x:c r="C297" s="23" t="str">
        <x:v>Sableye</x:v>
      </x:c>
      <x:c r="D297" s="23" t="str">
        <x:v>Ténèbres</x:v>
      </x:c>
      <x:c r="E297" s="23" t="str">
        <x:v>Spectre</x:v>
      </x:c>
      <x:c r="F297" s="23" t="str">
        <x:v>Rare</x:v>
      </x:c>
      <x:c r="G297" s="45" t="n">
        <x:v>12000</x:v>
      </x:c>
      <x:c r="H297" s="45" t="n">
        <x:f>IF(G297="","",ROUNDUP(G297*3,0))</x:f>
        <x:v>36000</x:v>
      </x:c>
      <x:c r="I297" s="41" t="n">
        <x:v>0.75</x:v>
      </x:c>
      <x:c r="J297" s="42" t="n">
        <x:v>50</x:v>
      </x:c>
      <x:c r="K297" s="42" t="n">
        <x:v>75</x:v>
      </x:c>
      <x:c r="L297" s="42" t="n">
        <x:v>75</x:v>
      </x:c>
      <x:c r="M297" s="42" t="n">
        <x:v>65</x:v>
      </x:c>
      <x:c r="N297" s="42" t="n">
        <x:v>65</x:v>
      </x:c>
      <x:c r="O297" s="42" t="n">
        <x:v>50</x:v>
      </x:c>
      <x:c r="P297" s="43" t="n">
        <x:f>IF(COUNT(J297:O297)=0,"",SUM(J297:O297))</x:f>
        <x:v>380</x:v>
      </x:c>
      <x:c r="Q297" s="23" t="str">
        <x:v>4 lignes de spawn</x:v>
      </x:c>
      <x:c r="R297" s="23" t="str">
        <x:v>Ténéfix mène une vie tranquille au fond des cavernes. Il est toutefois redouté, car on dit que ce Pokémon dérobe l'esprit des gens lorsque ses yeux s'illuminent d'un éclat sinistre dans l'obscurité.</x:v>
      </x:c>
      <x:c r="S297" s="23" t="str"/>
      <x:c r="T297" s="23" t="str">
        <x:v>https://pixelmonmod.com/wiki/Sableye</x:v>
      </x:c>
    </x:row>
    <x:row r="298" ht="54" customHeight="1">
      <x:c r="A298" s="27" t="n">
        <x:v>303</x:v>
      </x:c>
      <x:c r="B298" s="23" t="str">
        <x:v>Mysdibule</x:v>
      </x:c>
      <x:c r="C298" s="23" t="str">
        <x:v>Mawile</x:v>
      </x:c>
      <x:c r="D298" s="23" t="str">
        <x:v>Acier</x:v>
      </x:c>
      <x:c r="E298" s="23" t="str">
        <x:v>Fée</x:v>
      </x:c>
      <x:c r="F298" s="23" t="str">
        <x:v>Ultra Rare</x:v>
      </x:c>
      <x:c r="G298" s="45" t="n">
        <x:v>75000</x:v>
      </x:c>
      <x:c r="H298" s="45" t="n">
        <x:f>IF(G298="","",ROUNDUP(G298*3,0))</x:f>
        <x:v>225000</x:v>
      </x:c>
      <x:c r="I298" s="41" t="n">
        <x:v>1</x:v>
      </x:c>
      <x:c r="J298" s="42" t="n">
        <x:v>50</x:v>
      </x:c>
      <x:c r="K298" s="42" t="n">
        <x:v>85</x:v>
      </x:c>
      <x:c r="L298" s="42" t="n">
        <x:v>85</x:v>
      </x:c>
      <x:c r="M298" s="42" t="n">
        <x:v>55</x:v>
      </x:c>
      <x:c r="N298" s="42" t="n">
        <x:v>55</x:v>
      </x:c>
      <x:c r="O298" s="42" t="n">
        <x:v>50</x:v>
      </x:c>
      <x:c r="P298" s="43" t="n">
        <x:f>IF(COUNT(J298:O298)=0,"",SUM(J298:O298))</x:f>
        <x:v>380</x:v>
      </x:c>
      <x:c r="Q298" s="23" t="str">
        <x:v>6 lignes de spawn</x:v>
      </x:c>
      <x:c r="R298" s="23" t="str">
        <x:v>Les immenses mâchoires de Mysdibule sont en fait des cornes d'acier transformées. Son visage docile sert à tromper l'ennemi et à l'inciter à baisser sa garde. Lorsqu'il s'y attend le moins, Mysdibule le mord avec ses mâchoires béantes.</x:v>
      </x:c>
      <x:c r="S298" s="23" t="str"/>
      <x:c r="T298" s="23" t="str">
        <x:v>https://pixelmonmod.com/wiki/Mawile</x:v>
      </x:c>
    </x:row>
    <x:row r="299" ht="54" customHeight="1">
      <x:c r="A299" s="27" t="n">
        <x:v>304</x:v>
      </x:c>
      <x:c r="B299" s="23" t="str">
        <x:v>Galekid</x:v>
      </x:c>
      <x:c r="C299" s="23" t="str">
        <x:v>Aron</x:v>
      </x:c>
      <x:c r="D299" s="23" t="str">
        <x:v>Acier</x:v>
      </x:c>
      <x:c r="E299" s="23" t="str">
        <x:v>Roche</x:v>
      </x:c>
      <x:c r="F299" s="23" t="str">
        <x:v>Uncommon</x:v>
      </x:c>
      <x:c r="G299" s="45" t="n">
        <x:v>5000</x:v>
      </x:c>
      <x:c r="H299" s="45" t="n">
        <x:f>IF(G299="","",ROUNDUP(G299*3,0))</x:f>
        <x:v>15000</x:v>
      </x:c>
      <x:c r="I299" s="41" t="n">
        <x:v>1</x:v>
      </x:c>
      <x:c r="J299" s="42" t="n">
        <x:v>50</x:v>
      </x:c>
      <x:c r="K299" s="42" t="n">
        <x:v>70</x:v>
      </x:c>
      <x:c r="L299" s="42" t="n">
        <x:v>100</x:v>
      </x:c>
      <x:c r="M299" s="42" t="n">
        <x:v>40</x:v>
      </x:c>
      <x:c r="N299" s="42" t="n">
        <x:v>40</x:v>
      </x:c>
      <x:c r="O299" s="42" t="n">
        <x:v>30</x:v>
      </x:c>
      <x:c r="P299" s="43" t="n">
        <x:f>IF(COUNT(J299:O299)=0,"",SUM(J299:O299))</x:f>
        <x:v>330</x:v>
      </x:c>
      <x:c r="Q299" s="23" t="str">
        <x:v>2 lignes de spawn</x:v>
      </x:c>
      <x:c r="R299" s="23" t="str">
        <x:v>Ce Pokémon possède un corps d'acier. Pour le constituer, Galekid se nourrit de minerai de fer qu'il extrait des montagnes. Il cause parfois de gros dégâts en mangeant des ponts ou des rails.</x:v>
      </x:c>
      <x:c r="S299" s="23" t="str"/>
      <x:c r="T299" s="23" t="str">
        <x:v>https://pixelmonmod.com/wiki/Aron</x:v>
      </x:c>
    </x:row>
    <x:row r="300" ht="54" customHeight="1">
      <x:c r="A300" s="27" t="n">
        <x:v>305</x:v>
      </x:c>
      <x:c r="B300" s="23" t="str">
        <x:v>Lairon</x:v>
      </x:c>
      <x:c r="C300" s="23" t="str">
        <x:v>Lairon</x:v>
      </x:c>
      <x:c r="D300" s="23" t="str">
        <x:v>Acier</x:v>
      </x:c>
      <x:c r="E300" s="23" t="str">
        <x:v>Roche</x:v>
      </x:c>
      <x:c r="F300" s="23" t="str">
        <x:v>Very Rare / Ultra Rare</x:v>
      </x:c>
      <x:c r="G300" s="45" t="n">
        <x:v>75000</x:v>
      </x:c>
      <x:c r="H300" s="45" t="n">
        <x:f>IF(G300="","",ROUNDUP(G300*3,0))</x:f>
        <x:v>225000</x:v>
      </x:c>
      <x:c r="I300" s="41" t="n">
        <x:v>0.5</x:v>
      </x:c>
      <x:c r="J300" s="42" t="n">
        <x:v>60</x:v>
      </x:c>
      <x:c r="K300" s="42" t="n">
        <x:v>90</x:v>
      </x:c>
      <x:c r="L300" s="42" t="n">
        <x:v>140</x:v>
      </x:c>
      <x:c r="M300" s="42" t="n">
        <x:v>50</x:v>
      </x:c>
      <x:c r="N300" s="42" t="n">
        <x:v>50</x:v>
      </x:c>
      <x:c r="O300" s="42" t="n">
        <x:v>40</x:v>
      </x:c>
      <x:c r="P300" s="43" t="n">
        <x:f>IF(COUNT(J300:O300)=0,"",SUM(J300:O300))</x:f>
        <x:v>430</x:v>
      </x:c>
      <x:c r="Q300" s="23" t="str">
        <x:v>4 lignes de spawn</x:v>
      </x:c>
      <x:c r="R300" s="23" t="str">
        <x:v>Lairon trempe son corps d'acier en buvant de l'eau de source riche en minéraux jusqu'à en être rassasié. Ce Pokémon établit son nid près de sources à l'eau délicieuse.</x:v>
      </x:c>
      <x:c r="S300" s="23" t="str">
        <x:v>Égalité de fréquence; prix provisoire basé sur le palier le plus élevé. Very Rare aligné sur le palier Super Rare (provisoire).</x:v>
      </x:c>
      <x:c r="T300" s="23" t="str">
        <x:v>https://pixelmonmod.com/wiki/Lairon</x:v>
      </x:c>
    </x:row>
    <x:row r="301" ht="54" customHeight="1">
      <x:c r="A301" s="27" t="n">
        <x:v>306</x:v>
      </x:c>
      <x:c r="B301" s="23" t="str">
        <x:v>Galeking</x:v>
      </x:c>
      <x:c r="C301" s="23" t="str">
        <x:v>Aggron</x:v>
      </x:c>
      <x:c r="D301" s="23" t="str">
        <x:v>Acier</x:v>
      </x:c>
      <x:c r="E301" s="23" t="str">
        <x:v>Roche</x:v>
      </x:c>
      <x:c r="F301" s="23" t="str">
        <x:v>Ultra Rare</x:v>
      </x:c>
      <x:c r="G301" s="45" t="n">
        <x:v>75000</x:v>
      </x:c>
      <x:c r="H301" s="45" t="n">
        <x:f>IF(G301="","",ROUNDUP(G301*3,0))</x:f>
        <x:v>225000</x:v>
      </x:c>
      <x:c r="I301" s="41" t="n">
        <x:v>1</x:v>
      </x:c>
      <x:c r="J301" s="42" t="n">
        <x:v>70</x:v>
      </x:c>
      <x:c r="K301" s="42" t="n">
        <x:v>110</x:v>
      </x:c>
      <x:c r="L301" s="42" t="n">
        <x:v>180</x:v>
      </x:c>
      <x:c r="M301" s="42" t="n">
        <x:v>60</x:v>
      </x:c>
      <x:c r="N301" s="42" t="n">
        <x:v>60</x:v>
      </x:c>
      <x:c r="O301" s="42" t="n">
        <x:v>50</x:v>
      </x:c>
      <x:c r="P301" s="43" t="n">
        <x:f>IF(COUNT(J301:O301)=0,"",SUM(J301:O301))</x:f>
        <x:v>530</x:v>
      </x:c>
      <x:c r="Q301" s="23" t="str">
        <x:v>2 lignes de spawn</x:v>
      </x:c>
      <x:c r="R301" s="23" t="str">
        <x:v>Galeking revendique toute une montagne comme son territoire. Il attaque sans pitié tout ce qui perturbe son environnement. Ce Pokémon patrouille sans relâche pour protéger son domaine.</x:v>
      </x:c>
      <x:c r="S301" s="23" t="str"/>
      <x:c r="T301" s="23" t="str">
        <x:v>https://pixelmonmod.com/wiki/Aggron</x:v>
      </x:c>
    </x:row>
    <x:row r="302" ht="54" customHeight="1">
      <x:c r="A302" s="27" t="n">
        <x:v>307</x:v>
      </x:c>
      <x:c r="B302" s="23" t="str">
        <x:v>Méditikka</x:v>
      </x:c>
      <x:c r="C302" s="23" t="str">
        <x:v>Meditite</x:v>
      </x:c>
      <x:c r="D302" s="23" t="str">
        <x:v>Combat</x:v>
      </x:c>
      <x:c r="E302" s="23" t="str">
        <x:v>Psy</x:v>
      </x:c>
      <x:c r="F302" s="23" t="str">
        <x:v>Uncommon</x:v>
      </x:c>
      <x:c r="G302" s="45" t="n">
        <x:v>5000</x:v>
      </x:c>
      <x:c r="H302" s="45" t="n">
        <x:f>IF(G302="","",ROUNDUP(G302*3,0))</x:f>
        <x:v>15000</x:v>
      </x:c>
      <x:c r="I302" s="41" t="n">
        <x:v>1</x:v>
      </x:c>
      <x:c r="J302" s="42" t="n">
        <x:v>30</x:v>
      </x:c>
      <x:c r="K302" s="42" t="n">
        <x:v>40</x:v>
      </x:c>
      <x:c r="L302" s="42" t="n">
        <x:v>55</x:v>
      </x:c>
      <x:c r="M302" s="42" t="n">
        <x:v>40</x:v>
      </x:c>
      <x:c r="N302" s="42" t="n">
        <x:v>55</x:v>
      </x:c>
      <x:c r="O302" s="42" t="n">
        <x:v>60</x:v>
      </x:c>
      <x:c r="P302" s="43" t="n">
        <x:f>IF(COUNT(J302:O302)=0,"",SUM(J302:O302))</x:f>
        <x:v>280</x:v>
      </x:c>
      <x:c r="Q302" s="23" t="str">
        <x:v>1 lignes de spawn</x:v>
      </x:c>
      <x:c r="R302" s="23" t="str">
        <x:v>Méditikka s'entraîne mentalement dans les profondeurs des montagnes. Cependant, chaque fois qu'il médite, il perd sa concentration. Ainsi, son entraînement ne se termine jamais.</x:v>
      </x:c>
      <x:c r="S302" s="23" t="str"/>
      <x:c r="T302" s="23" t="str">
        <x:v>https://pixelmonmod.com/wiki/Meditite</x:v>
      </x:c>
    </x:row>
    <x:row r="303" ht="54" customHeight="1">
      <x:c r="A303" s="27" t="n">
        <x:v>308</x:v>
      </x:c>
      <x:c r="B303" s="23" t="str">
        <x:v>Charmina</x:v>
      </x:c>
      <x:c r="C303" s="23" t="str">
        <x:v>Medicham</x:v>
      </x:c>
      <x:c r="D303" s="23" t="str">
        <x:v>Combat</x:v>
      </x:c>
      <x:c r="E303" s="23" t="str">
        <x:v>Psy</x:v>
      </x:c>
      <x:c r="F303" s="23" t="str">
        <x:v>Ultra Rare</x:v>
      </x:c>
      <x:c r="G303" s="45" t="n">
        <x:v>75000</x:v>
      </x:c>
      <x:c r="H303" s="45" t="n">
        <x:f>IF(G303="","",ROUNDUP(G303*3,0))</x:f>
        <x:v>225000</x:v>
      </x:c>
      <x:c r="I303" s="41" t="n">
        <x:v>1</x:v>
      </x:c>
      <x:c r="J303" s="42" t="n">
        <x:v>60</x:v>
      </x:c>
      <x:c r="K303" s="42" t="n">
        <x:v>60</x:v>
      </x:c>
      <x:c r="L303" s="42" t="n">
        <x:v>75</x:v>
      </x:c>
      <x:c r="M303" s="42" t="n">
        <x:v>60</x:v>
      </x:c>
      <x:c r="N303" s="42" t="n">
        <x:v>75</x:v>
      </x:c>
      <x:c r="O303" s="42" t="n">
        <x:v>80</x:v>
      </x:c>
      <x:c r="P303" s="43" t="n">
        <x:f>IF(COUNT(J303:O303)=0,"",SUM(J303:O303))</x:f>
        <x:v>410</x:v>
      </x:c>
      <x:c r="Q303" s="23" t="str">
        <x:v>3 lignes de spawn</x:v>
      </x:c>
      <x:c r="R303" s="23" t="str">
        <x:v>On raconte que grâce à la méditation, Charmina intensifie l'énergie qui circule dans son corps et aiguise son sixième sens. Ce Pokémon dissimule sa présence en se fondant dans les champs et les montagnes.</x:v>
      </x:c>
      <x:c r="S303" s="23" t="str"/>
      <x:c r="T303" s="23" t="str">
        <x:v>https://pixelmonmod.com/wiki/Medicham</x:v>
      </x:c>
    </x:row>
    <x:row r="304" ht="54" customHeight="1">
      <x:c r="A304" s="27" t="n">
        <x:v>309</x:v>
      </x:c>
      <x:c r="B304" s="23" t="str">
        <x:v>Dynavolt</x:v>
      </x:c>
      <x:c r="C304" s="23" t="str">
        <x:v>Electrike</x:v>
      </x:c>
      <x:c r="D304" s="23" t="str">
        <x:v>Électrik</x:v>
      </x:c>
      <x:c r="E304" s="23" t="str"/>
      <x:c r="F304" s="23" t="str">
        <x:v>Common</x:v>
      </x:c>
      <x:c r="G304" s="45" t="n">
        <x:v>2000</x:v>
      </x:c>
      <x:c r="H304" s="45" t="n">
        <x:f>IF(G304="","",ROUNDUP(G304*3,0))</x:f>
        <x:v>6000</x:v>
      </x:c>
      <x:c r="I304" s="41" t="n">
        <x:v>1</x:v>
      </x:c>
      <x:c r="J304" s="42" t="n">
        <x:v>40</x:v>
      </x:c>
      <x:c r="K304" s="42" t="n">
        <x:v>45</x:v>
      </x:c>
      <x:c r="L304" s="42" t="n">
        <x:v>40</x:v>
      </x:c>
      <x:c r="M304" s="42" t="n">
        <x:v>65</x:v>
      </x:c>
      <x:c r="N304" s="42" t="n">
        <x:v>40</x:v>
      </x:c>
      <x:c r="O304" s="42" t="n">
        <x:v>65</x:v>
      </x:c>
      <x:c r="P304" s="43" t="n">
        <x:f>IF(COUNT(J304:O304)=0,"",SUM(J304:O304))</x:f>
        <x:v>295</x:v>
      </x:c>
      <x:c r="Q304" s="23" t="str">
        <x:v>2 lignes de spawn</x:v>
      </x:c>
      <x:c r="R304" s="23" t="str">
        <x:v>Dynavolt stocke l'électricité dans son long pelage. Il stimule ses muscles des pattes à l'aide de décharges qui lui confèrent une accélération fulgurante.</x:v>
      </x:c>
      <x:c r="S304" s="23" t="str"/>
      <x:c r="T304" s="23" t="str">
        <x:v>https://pixelmonmod.com/wiki/Electrike</x:v>
      </x:c>
    </x:row>
    <x:row r="305" ht="54" customHeight="1">
      <x:c r="A305" s="27" t="n">
        <x:v>310</x:v>
      </x:c>
      <x:c r="B305" s="23" t="str">
        <x:v>Élecsprint</x:v>
      </x:c>
      <x:c r="C305" s="23" t="str">
        <x:v>Manectric</x:v>
      </x:c>
      <x:c r="D305" s="23" t="str">
        <x:v>Électrik</x:v>
      </x:c>
      <x:c r="E305" s="23" t="str"/>
      <x:c r="F305" s="23" t="str">
        <x:v>Ultra Rare</x:v>
      </x:c>
      <x:c r="G305" s="45" t="n">
        <x:v>75000</x:v>
      </x:c>
      <x:c r="H305" s="45" t="n">
        <x:f>IF(G305="","",ROUNDUP(G305*3,0))</x:f>
        <x:v>225000</x:v>
      </x:c>
      <x:c r="I305" s="41" t="n">
        <x:v>1</x:v>
      </x:c>
      <x:c r="J305" s="42" t="n">
        <x:v>70</x:v>
      </x:c>
      <x:c r="K305" s="42" t="n">
        <x:v>75</x:v>
      </x:c>
      <x:c r="L305" s="42" t="n">
        <x:v>60</x:v>
      </x:c>
      <x:c r="M305" s="42" t="n">
        <x:v>105</x:v>
      </x:c>
      <x:c r="N305" s="42" t="n">
        <x:v>60</x:v>
      </x:c>
      <x:c r="O305" s="42" t="n">
        <x:v>105</x:v>
      </x:c>
      <x:c r="P305" s="43" t="n">
        <x:f>IF(COUNT(J305:O305)=0,"",SUM(J305:O305))</x:f>
        <x:v>475</x:v>
      </x:c>
      <x:c r="Q305" s="23" t="str">
        <x:v>4 lignes de spawn</x:v>
      </x:c>
      <x:c r="R305" s="23" t="str">
        <x:v>Élecsprint libère sans cesse de l'électricité depuis sa crinière. Les étincelles provoquent parfois des incendies de forêt. Lorsqu'il entre en combat, ce Pokémon crée des nuages d'orage.</x:v>
      </x:c>
      <x:c r="S305" s="23" t="str"/>
      <x:c r="T305" s="23" t="str">
        <x:v>https://pixelmonmod.com/wiki/Manectric</x:v>
      </x:c>
    </x:row>
    <x:row r="306" ht="54" customHeight="1">
      <x:c r="A306" s="27" t="n">
        <x:v>311</x:v>
      </x:c>
      <x:c r="B306" s="23" t="str">
        <x:v>Posipi</x:v>
      </x:c>
      <x:c r="C306" s="23" t="str">
        <x:v>Plusle</x:v>
      </x:c>
      <x:c r="D306" s="23" t="str">
        <x:v>Électrik</x:v>
      </x:c>
      <x:c r="E306" s="23" t="str"/>
      <x:c r="F306" s="23" t="str">
        <x:v>Uncommon</x:v>
      </x:c>
      <x:c r="G306" s="45" t="n">
        <x:v>5000</x:v>
      </x:c>
      <x:c r="H306" s="45" t="n">
        <x:f>IF(G306="","",ROUNDUP(G306*3,0))</x:f>
        <x:v>15000</x:v>
      </x:c>
      <x:c r="I306" s="41" t="n">
        <x:v>1</x:v>
      </x:c>
      <x:c r="J306" s="42" t="n">
        <x:v>60</x:v>
      </x:c>
      <x:c r="K306" s="42" t="n">
        <x:v>50</x:v>
      </x:c>
      <x:c r="L306" s="42" t="n">
        <x:v>40</x:v>
      </x:c>
      <x:c r="M306" s="42" t="n">
        <x:v>85</x:v>
      </x:c>
      <x:c r="N306" s="42" t="n">
        <x:v>75</x:v>
      </x:c>
      <x:c r="O306" s="42" t="n">
        <x:v>95</x:v>
      </x:c>
      <x:c r="P306" s="43" t="n">
        <x:f>IF(COUNT(J306:O306)=0,"",SUM(J306:O306))</x:f>
        <x:v>405</x:v>
      </x:c>
      <x:c r="Q306" s="23" t="str">
        <x:v>2 lignes de spawn</x:v>
      </x:c>
      <x:c r="R306" s="23" t="str">
        <x:v>Posipi encourage toujours ses partenaires comme un véritable supporter. Quand un camarade réalise un bon effort en combat, il libère des étincelles crépitantes pour montrer sa joie.</x:v>
      </x:c>
      <x:c r="S306" s="23" t="str"/>
      <x:c r="T306" s="23" t="str">
        <x:v>https://pixelmonmod.com/wiki/Plusle</x:v>
      </x:c>
    </x:row>
    <x:row r="307" ht="54" customHeight="1">
      <x:c r="A307" s="27" t="n">
        <x:v>312</x:v>
      </x:c>
      <x:c r="B307" s="23" t="str">
        <x:v>Négapi</x:v>
      </x:c>
      <x:c r="C307" s="23" t="str">
        <x:v>Minun</x:v>
      </x:c>
      <x:c r="D307" s="23" t="str">
        <x:v>Électrik</x:v>
      </x:c>
      <x:c r="E307" s="23" t="str"/>
      <x:c r="F307" s="23" t="str">
        <x:v>Uncommon</x:v>
      </x:c>
      <x:c r="G307" s="45" t="n">
        <x:v>5000</x:v>
      </x:c>
      <x:c r="H307" s="45" t="n">
        <x:f>IF(G307="","",ROUNDUP(G307*3,0))</x:f>
        <x:v>15000</x:v>
      </x:c>
      <x:c r="I307" s="41" t="n">
        <x:v>1</x:v>
      </x:c>
      <x:c r="J307" s="42" t="n">
        <x:v>60</x:v>
      </x:c>
      <x:c r="K307" s="42" t="n">
        <x:v>40</x:v>
      </x:c>
      <x:c r="L307" s="42" t="n">
        <x:v>50</x:v>
      </x:c>
      <x:c r="M307" s="42" t="n">
        <x:v>75</x:v>
      </x:c>
      <x:c r="N307" s="42" t="n">
        <x:v>85</x:v>
      </x:c>
      <x:c r="O307" s="42" t="n">
        <x:v>95</x:v>
      </x:c>
      <x:c r="P307" s="43" t="n">
        <x:f>IF(COUNT(J307:O307)=0,"",SUM(J307:O307))</x:f>
        <x:v>405</x:v>
      </x:c>
      <x:c r="Q307" s="23" t="str">
        <x:v>2 lignes de spawn</x:v>
      </x:c>
      <x:c r="R307" s="23" t="str">
        <x:v>Négapi préfère encourager ses partenaires plutôt que veiller à sa propre sécurité. Il libère l'électricité de son corps pour créer de merveilleuses gerbes d'étincelles afin de motiver ses coéquipiers.</x:v>
      </x:c>
      <x:c r="S307" s="23" t="str"/>
      <x:c r="T307" s="23" t="str">
        <x:v>https://pixelmonmod.com/wiki/Minun</x:v>
      </x:c>
    </x:row>
    <x:row r="308" ht="54" customHeight="1">
      <x:c r="A308" s="27" t="n">
        <x:v>313</x:v>
      </x:c>
      <x:c r="B308" s="23" t="str">
        <x:v>Muciole</x:v>
      </x:c>
      <x:c r="C308" s="23" t="str">
        <x:v>Volbeat</x:v>
      </x:c>
      <x:c r="D308" s="23" t="str">
        <x:v>Insecte</x:v>
      </x:c>
      <x:c r="E308" s="23" t="str"/>
      <x:c r="F308" s="23" t="str">
        <x:v>Uncommon</x:v>
      </x:c>
      <x:c r="G308" s="45" t="n">
        <x:v>5000</x:v>
      </x:c>
      <x:c r="H308" s="45" t="n">
        <x:f>IF(G308="","",ROUNDUP(G308*3,0))</x:f>
        <x:v>15000</x:v>
      </x:c>
      <x:c r="I308" s="41" t="n">
        <x:v>1</x:v>
      </x:c>
      <x:c r="J308" s="42" t="n">
        <x:v>65</x:v>
      </x:c>
      <x:c r="K308" s="42" t="n">
        <x:v>73</x:v>
      </x:c>
      <x:c r="L308" s="42" t="n">
        <x:v>75</x:v>
      </x:c>
      <x:c r="M308" s="42" t="n">
        <x:v>47</x:v>
      </x:c>
      <x:c r="N308" s="42" t="n">
        <x:v>85</x:v>
      </x:c>
      <x:c r="O308" s="42" t="n">
        <x:v>85</x:v>
      </x:c>
      <x:c r="P308" s="43" t="n">
        <x:f>IF(COUNT(J308:O308)=0,"",SUM(J308:O308))</x:f>
        <x:v>430</x:v>
      </x:c>
      <x:c r="Q308" s="23" t="str">
        <x:v>2 lignes de spawn</x:v>
      </x:c>
      <x:c r="R308" s="23" t="str">
        <x:v>À la nuit tombée, Muciole émet une lumière depuis sa queue. Il communique avec ses pairs en modulant l'intensité et le clignotement de sa lumière. Ce Pokémon est attiré par le doux parfum de Lumivole.</x:v>
      </x:c>
      <x:c r="S308" s="23" t="str"/>
      <x:c r="T308" s="23" t="str">
        <x:v>https://pixelmonmod.com/wiki/Volbeat</x:v>
      </x:c>
    </x:row>
    <x:row r="309" ht="54" customHeight="1">
      <x:c r="A309" s="27" t="n">
        <x:v>314</x:v>
      </x:c>
      <x:c r="B309" s="23" t="str">
        <x:v>Lumivole</x:v>
      </x:c>
      <x:c r="C309" s="23" t="str">
        <x:v>Illumise</x:v>
      </x:c>
      <x:c r="D309" s="23" t="str">
        <x:v>Insecte</x:v>
      </x:c>
      <x:c r="E309" s="23" t="str"/>
      <x:c r="F309" s="23" t="str">
        <x:v>Uncommon</x:v>
      </x:c>
      <x:c r="G309" s="45" t="n">
        <x:v>5000</x:v>
      </x:c>
      <x:c r="H309" s="45" t="n">
        <x:f>IF(G309="","",ROUNDUP(G309*3,0))</x:f>
        <x:v>15000</x:v>
      </x:c>
      <x:c r="I309" s="41" t="n">
        <x:v>1</x:v>
      </x:c>
      <x:c r="J309" s="42" t="n">
        <x:v>65</x:v>
      </x:c>
      <x:c r="K309" s="42" t="n">
        <x:v>47</x:v>
      </x:c>
      <x:c r="L309" s="42" t="n">
        <x:v>75</x:v>
      </x:c>
      <x:c r="M309" s="42" t="n">
        <x:v>73</x:v>
      </x:c>
      <x:c r="N309" s="42" t="n">
        <x:v>85</x:v>
      </x:c>
      <x:c r="O309" s="42" t="n">
        <x:v>85</x:v>
      </x:c>
      <x:c r="P309" s="43" t="n">
        <x:f>IF(COUNT(J309:O309)=0,"",SUM(J309:O309))</x:f>
        <x:v>430</x:v>
      </x:c>
      <x:c r="Q309" s="23" t="str">
        <x:v>2 lignes de spawn</x:v>
      </x:c>
      <x:c r="R309" s="23" t="str">
        <x:v>Lumivole attire un essaim de Muciole grâce à un parfum sucré. Une fois les Muciole rassemblés, ce Pokémon dirige l'essaim illuminé pour tracer des motifs géométriques sur la toile du ciel nocturne.</x:v>
      </x:c>
      <x:c r="S309" s="23" t="str"/>
      <x:c r="T309" s="23" t="str">
        <x:v>https://pixelmonmod.com/wiki/Illumise</x:v>
      </x:c>
    </x:row>
    <x:row r="310" ht="54" customHeight="1">
      <x:c r="A310" s="27" t="n">
        <x:v>315</x:v>
      </x:c>
      <x:c r="B310" s="23" t="str">
        <x:v>Rosélia</x:v>
      </x:c>
      <x:c r="C310" s="23" t="str">
        <x:v>Roselia</x:v>
      </x:c>
      <x:c r="D310" s="23" t="str">
        <x:v>Plante</x:v>
      </x:c>
      <x:c r="E310" s="23" t="str">
        <x:v>Poison</x:v>
      </x:c>
      <x:c r="F310" s="23" t="str">
        <x:v>Uncommon</x:v>
      </x:c>
      <x:c r="G310" s="45" t="n">
        <x:v>5000</x:v>
      </x:c>
      <x:c r="H310" s="45" t="n">
        <x:f>IF(G310="","",ROUNDUP(G310*3,0))</x:f>
        <x:v>15000</x:v>
      </x:c>
      <x:c r="I310" s="41" t="n">
        <x:v>0.667</x:v>
      </x:c>
      <x:c r="J310" s="42" t="n">
        <x:v>50</x:v>
      </x:c>
      <x:c r="K310" s="42" t="n">
        <x:v>60</x:v>
      </x:c>
      <x:c r="L310" s="42" t="n">
        <x:v>45</x:v>
      </x:c>
      <x:c r="M310" s="42" t="n">
        <x:v>100</x:v>
      </x:c>
      <x:c r="N310" s="42" t="n">
        <x:v>80</x:v>
      </x:c>
      <x:c r="O310" s="42" t="n">
        <x:v>65</x:v>
      </x:c>
      <x:c r="P310" s="43" t="n">
        <x:f>IF(COUNT(J310:O310)=0,"",SUM(J310:O310))</x:f>
        <x:v>400</x:v>
      </x:c>
      <x:c r="Q310" s="23" t="str">
        <x:v>3 lignes de spawn</x:v>
      </x:c>
      <x:c r="R310" s="23" t="str">
        <x:v>Rosélia projette des épines acérées sur tout adversaire qui tente de lui voler les fleurs de ses bras. Le parfum de ce Pokémon apaise les êtres vivants.</x:v>
      </x:c>
      <x:c r="S310" s="23" t="str"/>
      <x:c r="T310" s="23" t="str">
        <x:v>https://pixelmonmod.com/wiki/Roselia</x:v>
      </x:c>
    </x:row>
    <x:row r="311" ht="54" customHeight="1">
      <x:c r="A311" s="27" t="n">
        <x:v>316</x:v>
      </x:c>
      <x:c r="B311" s="23" t="str">
        <x:v>Gloupti</x:v>
      </x:c>
      <x:c r="C311" s="23" t="str">
        <x:v>Gulpin</x:v>
      </x:c>
      <x:c r="D311" s="23" t="str">
        <x:v>Poison</x:v>
      </x:c>
      <x:c r="E311" s="23" t="str"/>
      <x:c r="F311" s="23" t="str">
        <x:v>Uncommon</x:v>
      </x:c>
      <x:c r="G311" s="45" t="n">
        <x:v>5000</x:v>
      </x:c>
      <x:c r="H311" s="45" t="n">
        <x:f>IF(G311="","",ROUNDUP(G311*3,0))</x:f>
        <x:v>15000</x:v>
      </x:c>
      <x:c r="I311" s="41" t="n">
        <x:v>1</x:v>
      </x:c>
      <x:c r="J311" s="42" t="n">
        <x:v>70</x:v>
      </x:c>
      <x:c r="K311" s="42" t="n">
        <x:v>43</x:v>
      </x:c>
      <x:c r="L311" s="42" t="n">
        <x:v>53</x:v>
      </x:c>
      <x:c r="M311" s="42" t="n">
        <x:v>43</x:v>
      </x:c>
      <x:c r="N311" s="42" t="n">
        <x:v>53</x:v>
      </x:c>
      <x:c r="O311" s="42" t="n">
        <x:v>40</x:v>
      </x:c>
      <x:c r="P311" s="43" t="n">
        <x:f>IF(COUNT(J311:O311)=0,"",SUM(J311:O311))</x:f>
        <x:v>302</x:v>
      </x:c>
      <x:c r="Q311" s="23" t="str">
        <x:v>2 lignes de spawn</x:v>
      </x:c>
      <x:c r="R311" s="23" t="str">
        <x:v>Presque tout le corps de Gloupti est son estomac. Il peut avaler quelque chose de sa propre taille. L'estomac de ce Pokémon contient un fluide spécial capable de tout digérer.</x:v>
      </x:c>
      <x:c r="S311" s="23" t="str"/>
      <x:c r="T311" s="23" t="str">
        <x:v>https://pixelmonmod.com/wiki/Gulpin</x:v>
      </x:c>
    </x:row>
    <x:row r="312" ht="54" customHeight="1">
      <x:c r="A312" s="27" t="n">
        <x:v>317</x:v>
      </x:c>
      <x:c r="B312" s="23" t="str">
        <x:v>Avaltout</x:v>
      </x:c>
      <x:c r="C312" s="23" t="str">
        <x:v>Swalot</x:v>
      </x:c>
      <x:c r="D312" s="23" t="str">
        <x:v>Poison</x:v>
      </x:c>
      <x:c r="E312" s="23" t="str"/>
      <x:c r="F312" s="23" t="str">
        <x:v>Ultra Rare</x:v>
      </x:c>
      <x:c r="G312" s="45" t="n">
        <x:v>75000</x:v>
      </x:c>
      <x:c r="H312" s="45" t="n">
        <x:f>IF(G312="","",ROUNDUP(G312*3,0))</x:f>
        <x:v>225000</x:v>
      </x:c>
      <x:c r="I312" s="41" t="n">
        <x:v>1</x:v>
      </x:c>
      <x:c r="J312" s="42" t="n">
        <x:v>100</x:v>
      </x:c>
      <x:c r="K312" s="42" t="n">
        <x:v>73</x:v>
      </x:c>
      <x:c r="L312" s="42" t="n">
        <x:v>83</x:v>
      </x:c>
      <x:c r="M312" s="42" t="n">
        <x:v>73</x:v>
      </x:c>
      <x:c r="N312" s="42" t="n">
        <x:v>83</x:v>
      </x:c>
      <x:c r="O312" s="42" t="n">
        <x:v>55</x:v>
      </x:c>
      <x:c r="P312" s="43" t="n">
        <x:f>IF(COUNT(J312:O312)=0,"",SUM(J312:O312))</x:f>
        <x:v>467</x:v>
      </x:c>
      <x:c r="Q312" s="23" t="str">
        <x:v>2 lignes de spawn</x:v>
      </x:c>
      <x:c r="R312" s="23" t="str">
        <x:v>Lorsqu'Avaltout repère une proie, il projette par ses pores un fluide extrêmement toxique pour l'affaiblir. Une fois la proie affaiblie, il l'avale entière grâce à sa bouche béante.</x:v>
      </x:c>
      <x:c r="S312" s="23" t="str"/>
      <x:c r="T312" s="23" t="str">
        <x:v>https://pixelmonmod.com/wiki/Swalot</x:v>
      </x:c>
    </x:row>
    <x:row r="313" ht="54" customHeight="1">
      <x:c r="A313" s="27" t="n">
        <x:v>318</x:v>
      </x:c>
      <x:c r="B313" s="23" t="str">
        <x:v>Carvanha</x:v>
      </x:c>
      <x:c r="C313" s="23" t="str">
        <x:v>Carvanha</x:v>
      </x:c>
      <x:c r="D313" s="23" t="str">
        <x:v>Eau</x:v>
      </x:c>
      <x:c r="E313" s="23" t="str">
        <x:v>Ténèbres</x:v>
      </x:c>
      <x:c r="F313" s="23" t="str">
        <x:v>Uncommon</x:v>
      </x:c>
      <x:c r="G313" s="45" t="n">
        <x:v>5000</x:v>
      </x:c>
      <x:c r="H313" s="45" t="n">
        <x:f>IF(G313="","",ROUNDUP(G313*3,0))</x:f>
        <x:v>15000</x:v>
      </x:c>
      <x:c r="I313" s="41" t="n">
        <x:v>0.727</x:v>
      </x:c>
      <x:c r="J313" s="42" t="n">
        <x:v>45</x:v>
      </x:c>
      <x:c r="K313" s="42" t="n">
        <x:v>90</x:v>
      </x:c>
      <x:c r="L313" s="42" t="n">
        <x:v>20</x:v>
      </x:c>
      <x:c r="M313" s="42" t="n">
        <x:v>65</x:v>
      </x:c>
      <x:c r="N313" s="42" t="n">
        <x:v>20</x:v>
      </x:c>
      <x:c r="O313" s="42" t="n">
        <x:v>65</x:v>
      </x:c>
      <x:c r="P313" s="43" t="n">
        <x:f>IF(COUNT(J313:O313)=0,"",SUM(J313:O313))</x:f>
        <x:v>305</x:v>
      </x:c>
      <x:c r="Q313" s="23" t="str">
        <x:v>11 lignes de spawn</x:v>
      </x:c>
      <x:c r="R313" s="23" t="str">
        <x:v>Les mâchoires puissamment développées de Carvanha, munies de crocs acérés, peuvent déchirer la coque d'un bateau. De nombreuses embarcations ont été attaquées puis coulées par ce Pokémon.</x:v>
      </x:c>
      <x:c r="S313" s="23" t="str"/>
      <x:c r="T313" s="23" t="str">
        <x:v>https://pixelmonmod.com/wiki/Carvanha</x:v>
      </x:c>
    </x:row>
    <x:row r="314" ht="54" customHeight="1">
      <x:c r="A314" s="27" t="n">
        <x:v>319</x:v>
      </x:c>
      <x:c r="B314" s="23" t="str">
        <x:v>Sharpedo</x:v>
      </x:c>
      <x:c r="C314" s="23" t="str">
        <x:v>Sharpedo</x:v>
      </x:c>
      <x:c r="D314" s="23" t="str">
        <x:v>Eau</x:v>
      </x:c>
      <x:c r="E314" s="23" t="str">
        <x:v>Ténèbres</x:v>
      </x:c>
      <x:c r="F314" s="23" t="str">
        <x:v>Very Rare</x:v>
      </x:c>
      <x:c r="G314" s="45" t="n">
        <x:v>30000</x:v>
      </x:c>
      <x:c r="H314" s="45" t="n">
        <x:f>IF(G314="","",ROUNDUP(G314*3,0))</x:f>
        <x:v>90000</x:v>
      </x:c>
      <x:c r="I314" s="41" t="n">
        <x:v>0.769</x:v>
      </x:c>
      <x:c r="J314" s="42" t="n">
        <x:v>70</x:v>
      </x:c>
      <x:c r="K314" s="42" t="n">
        <x:v>120</x:v>
      </x:c>
      <x:c r="L314" s="42" t="n">
        <x:v>40</x:v>
      </x:c>
      <x:c r="M314" s="42" t="n">
        <x:v>95</x:v>
      </x:c>
      <x:c r="N314" s="42" t="n">
        <x:v>40</x:v>
      </x:c>
      <x:c r="O314" s="42" t="n">
        <x:v>95</x:v>
      </x:c>
      <x:c r="P314" s="43" t="n">
        <x:f>IF(COUNT(J314:O314)=0,"",SUM(J314:O314))</x:f>
        <x:v>460</x:v>
      </x:c>
      <x:c r="Q314" s="23" t="str">
        <x:v>13 lignes de spawn</x:v>
      </x:c>
      <x:c r="R314" s="23" t="str">
        <x:v>Surnommé « le tyran des mers », Sharpedo est craint de tous. Ses crocs cruels repoussent aussitôt s'ils se cassent. Un seul de ces Pokémon peut réduire un pétrolier en lambeaux.</x:v>
      </x:c>
      <x:c r="S314" s="23" t="str">
        <x:v>Very Rare aligné sur le palier Super Rare (provisoire).</x:v>
      </x:c>
      <x:c r="T314" s="23" t="str">
        <x:v>https://pixelmonmod.com/wiki/Sharpedo</x:v>
      </x:c>
    </x:row>
    <x:row r="315" ht="54" customHeight="1">
      <x:c r="A315" s="27" t="n">
        <x:v>320</x:v>
      </x:c>
      <x:c r="B315" s="23" t="str">
        <x:v>Wailmer</x:v>
      </x:c>
      <x:c r="C315" s="23" t="str">
        <x:v>Wailmer</x:v>
      </x:c>
      <x:c r="D315" s="23" t="str">
        <x:v>Eau</x:v>
      </x:c>
      <x:c r="E315" s="23" t="str"/>
      <x:c r="F315" s="23" t="str">
        <x:v>Uncommon</x:v>
      </x:c>
      <x:c r="G315" s="45" t="n">
        <x:v>5000</x:v>
      </x:c>
      <x:c r="H315" s="45" t="n">
        <x:f>IF(G315="","",ROUNDUP(G315*3,0))</x:f>
        <x:v>15000</x:v>
      </x:c>
      <x:c r="I315" s="41" t="n">
        <x:v>1</x:v>
      </x:c>
      <x:c r="J315" s="42" t="n">
        <x:v>130</x:v>
      </x:c>
      <x:c r="K315" s="42" t="n">
        <x:v>70</x:v>
      </x:c>
      <x:c r="L315" s="42" t="n">
        <x:v>35</x:v>
      </x:c>
      <x:c r="M315" s="42" t="n">
        <x:v>70</x:v>
      </x:c>
      <x:c r="N315" s="42" t="n">
        <x:v>35</x:v>
      </x:c>
      <x:c r="O315" s="42" t="n">
        <x:v>60</x:v>
      </x:c>
      <x:c r="P315" s="43" t="n">
        <x:f>IF(COUNT(J315:O315)=0,"",SUM(J315:O315))</x:f>
        <x:v>400</x:v>
      </x:c>
      <x:c r="Q315" s="23" t="str">
        <x:v>5 lignes de spawn</x:v>
      </x:c>
      <x:c r="R315" s="23" t="str">
        <x:v>Les narines de Wailmer sont situées au-dessus de ses yeux. Ce Pokémon enjoué adore surprendre les gens en expulsant avec force l'eau de mer qu'il stocke dans son corps par ses narines.</x:v>
      </x:c>
      <x:c r="S315" s="23" t="str"/>
      <x:c r="T315" s="23" t="str">
        <x:v>https://pixelmonmod.com/wiki/Wailmer</x:v>
      </x:c>
    </x:row>
    <x:row r="316" ht="54" customHeight="1">
      <x:c r="A316" s="27" t="n">
        <x:v>321</x:v>
      </x:c>
      <x:c r="B316" s="23" t="str">
        <x:v>Wailord</x:v>
      </x:c>
      <x:c r="C316" s="23" t="str">
        <x:v>Wailord</x:v>
      </x:c>
      <x:c r="D316" s="23" t="str">
        <x:v>Eau</x:v>
      </x:c>
      <x:c r="E316" s="23" t="str"/>
      <x:c r="F316" s="23" t="str">
        <x:v>Ultra Rare</x:v>
      </x:c>
      <x:c r="G316" s="45" t="n">
        <x:v>75000</x:v>
      </x:c>
      <x:c r="H316" s="45" t="n">
        <x:f>IF(G316="","",ROUNDUP(G316*3,0))</x:f>
        <x:v>225000</x:v>
      </x:c>
      <x:c r="I316" s="41" t="n">
        <x:v>1</x:v>
      </x:c>
      <x:c r="J316" s="42" t="n">
        <x:v>170</x:v>
      </x:c>
      <x:c r="K316" s="42" t="n">
        <x:v>90</x:v>
      </x:c>
      <x:c r="L316" s="42" t="n">
        <x:v>45</x:v>
      </x:c>
      <x:c r="M316" s="42" t="n">
        <x:v>90</x:v>
      </x:c>
      <x:c r="N316" s="42" t="n">
        <x:v>45</x:v>
      </x:c>
      <x:c r="O316" s="42" t="n">
        <x:v>60</x:v>
      </x:c>
      <x:c r="P316" s="43" t="n">
        <x:f>IF(COUNT(J316:O316)=0,"",SUM(J316:O316))</x:f>
        <x:v>500</x:v>
      </x:c>
      <x:c r="Q316" s="23" t="str">
        <x:v>5 lignes de spawn</x:v>
      </x:c>
      <x:c r="R316" s="23" t="str">
        <x:v>Wailord est le plus grand de tous les Pokémon répertoriés à ce jour. Ce gigantesque Pokémon nage nonchalamment dans l'immense océan, engloutissant d'énormes quantités de nourriture d'un seul coup grâce à sa bouche gigantesque.</x:v>
      </x:c>
      <x:c r="S316" s="23" t="str"/>
      <x:c r="T316" s="23" t="str">
        <x:v>https://pixelmonmod.com/wiki/Wailord</x:v>
      </x:c>
    </x:row>
    <x:row r="317" ht="54" customHeight="1">
      <x:c r="A317" s="27" t="n">
        <x:v>322</x:v>
      </x:c>
      <x:c r="B317" s="23" t="str">
        <x:v>Chamallot</x:v>
      </x:c>
      <x:c r="C317" s="23" t="str">
        <x:v>Numel</x:v>
      </x:c>
      <x:c r="D317" s="23" t="str">
        <x:v>Feu</x:v>
      </x:c>
      <x:c r="E317" s="23" t="str">
        <x:v>Sol</x:v>
      </x:c>
      <x:c r="F317" s="23" t="str">
        <x:v>Common / Uncommon</x:v>
      </x:c>
      <x:c r="G317" s="45" t="n">
        <x:v>5000</x:v>
      </x:c>
      <x:c r="H317" s="45" t="n">
        <x:f>IF(G317="","",ROUNDUP(G317*3,0))</x:f>
        <x:v>15000</x:v>
      </x:c>
      <x:c r="I317" s="41" t="n">
        <x:v>0.5</x:v>
      </x:c>
      <x:c r="J317" s="42" t="n">
        <x:v>60</x:v>
      </x:c>
      <x:c r="K317" s="42" t="n">
        <x:v>60</x:v>
      </x:c>
      <x:c r="L317" s="42" t="n">
        <x:v>40</x:v>
      </x:c>
      <x:c r="M317" s="42" t="n">
        <x:v>65</x:v>
      </x:c>
      <x:c r="N317" s="42" t="n">
        <x:v>45</x:v>
      </x:c>
      <x:c r="O317" s="42" t="n">
        <x:v>35</x:v>
      </x:c>
      <x:c r="P317" s="43" t="n">
        <x:f>IF(COUNT(J317:O317)=0,"",SUM(J317:O317))</x:f>
        <x:v>305</x:v>
      </x:c>
      <x:c r="Q317" s="23" t="str">
        <x:v>6 lignes de spawn</x:v>
      </x:c>
      <x:c r="R317" s="23" t="str">
        <x:v>Chamallot est extrêmement lent d'esprit : il ne remarque même pas qu'on le frappe. En revanche, il ne supporte pas la faim, même une seconde. Son corps est un chaudron bouillonnant de magma.</x:v>
      </x:c>
      <x:c r="S317" s="23" t="str">
        <x:v>Égalité de fréquence; prix provisoire basé sur le palier le plus élevé.</x:v>
      </x:c>
      <x:c r="T317" s="23" t="str">
        <x:v>https://pixelmonmod.com/wiki/Numel</x:v>
      </x:c>
    </x:row>
    <x:row r="318" ht="54" customHeight="1">
      <x:c r="A318" s="27" t="n">
        <x:v>323</x:v>
      </x:c>
      <x:c r="B318" s="23" t="str">
        <x:v>Camerupt</x:v>
      </x:c>
      <x:c r="C318" s="23" t="str">
        <x:v>Camerupt</x:v>
      </x:c>
      <x:c r="D318" s="23" t="str">
        <x:v>Feu</x:v>
      </x:c>
      <x:c r="E318" s="23" t="str">
        <x:v>Sol</x:v>
      </x:c>
      <x:c r="F318" s="23" t="str">
        <x:v>Ultra Rare</x:v>
      </x:c>
      <x:c r="G318" s="45" t="n">
        <x:v>75000</x:v>
      </x:c>
      <x:c r="H318" s="45" t="n">
        <x:f>IF(G318="","",ROUNDUP(G318*3,0))</x:f>
        <x:v>225000</x:v>
      </x:c>
      <x:c r="I318" s="41" t="n">
        <x:v>0.6</x:v>
      </x:c>
      <x:c r="J318" s="42" t="n">
        <x:v>70</x:v>
      </x:c>
      <x:c r="K318" s="42" t="n">
        <x:v>100</x:v>
      </x:c>
      <x:c r="L318" s="42" t="n">
        <x:v>70</x:v>
      </x:c>
      <x:c r="M318" s="42" t="n">
        <x:v>105</x:v>
      </x:c>
      <x:c r="N318" s="42" t="n">
        <x:v>75</x:v>
      </x:c>
      <x:c r="O318" s="42" t="n">
        <x:v>40</x:v>
      </x:c>
      <x:c r="P318" s="43" t="n">
        <x:f>IF(COUNT(J318:O318)=0,"",SUM(J318:O318))</x:f>
        <x:v>460</x:v>
      </x:c>
      <x:c r="Q318" s="23" t="str">
        <x:v>10 lignes de spawn</x:v>
      </x:c>
      <x:c r="R318" s="23" t="str">
        <x:v>Camerupt abrite un volcan dans son corps. Un magma chauffé à près de 10 000 °C parcourt son organisme. Parfois, les bosses sur son dos entrent en éruption, projetant ce magma surchauffé.</x:v>
      </x:c>
      <x:c r="S318" s="23" t="str"/>
      <x:c r="T318" s="23" t="str">
        <x:v>https://pixelmonmod.com/wiki/Camerupt</x:v>
      </x:c>
    </x:row>
    <x:row r="319" ht="54" customHeight="1">
      <x:c r="A319" s="27" t="n">
        <x:v>324</x:v>
      </x:c>
      <x:c r="B319" s="23" t="str">
        <x:v>Chartor</x:v>
      </x:c>
      <x:c r="C319" s="23" t="str">
        <x:v>Torkoal</x:v>
      </x:c>
      <x:c r="D319" s="23" t="str">
        <x:v>Feu</x:v>
      </x:c>
      <x:c r="E319" s="23" t="str"/>
      <x:c r="F319" s="23" t="str">
        <x:v>Rare</x:v>
      </x:c>
      <x:c r="G319" s="45" t="n">
        <x:v>12000</x:v>
      </x:c>
      <x:c r="H319" s="45" t="n">
        <x:f>IF(G319="","",ROUNDUP(G319*3,0))</x:f>
        <x:v>36000</x:v>
      </x:c>
      <x:c r="I319" s="41" t="n">
        <x:v>0.364</x:v>
      </x:c>
      <x:c r="J319" s="42" t="n">
        <x:v>70</x:v>
      </x:c>
      <x:c r="K319" s="42" t="n">
        <x:v>85</x:v>
      </x:c>
      <x:c r="L319" s="42" t="n">
        <x:v>140</x:v>
      </x:c>
      <x:c r="M319" s="42" t="n">
        <x:v>85</x:v>
      </x:c>
      <x:c r="N319" s="42" t="n">
        <x:v>70</x:v>
      </x:c>
      <x:c r="O319" s="42" t="n">
        <x:v>20</x:v>
      </x:c>
      <x:c r="P319" s="43" t="n">
        <x:f>IF(COUNT(J319:O319)=0,"",SUM(J319:O319))</x:f>
        <x:v>470</x:v>
      </x:c>
      <x:c r="Q319" s="23" t="str">
        <x:v>22 lignes de spawn</x:v>
      </x:c>
      <x:c r="R319" s="23" t="str">
        <x:v>Chartor creuse les montagnes à la recherche de charbon. Lorsqu'il en trouve, il remplit les cavités de sa carapace et les brûle. S'il est attaqué, il expulse une épaisse fumée noire pour battre en retraite.</x:v>
      </x:c>
      <x:c r="S319" s="23" t="str"/>
      <x:c r="T319" s="23" t="str">
        <x:v>https://pixelmonmod.com/wiki/Torkoal</x:v>
      </x:c>
    </x:row>
    <x:row r="320" ht="54" customHeight="1">
      <x:c r="A320" s="27" t="n">
        <x:v>325</x:v>
      </x:c>
      <x:c r="B320" s="23" t="str">
        <x:v>Spoink</x:v>
      </x:c>
      <x:c r="C320" s="23" t="str">
        <x:v>Spoink</x:v>
      </x:c>
      <x:c r="D320" s="23" t="str">
        <x:v>Psy</x:v>
      </x:c>
      <x:c r="E320" s="23" t="str"/>
      <x:c r="F320" s="23" t="str">
        <x:v>Uncommon</x:v>
      </x:c>
      <x:c r="G320" s="45" t="n">
        <x:v>5000</x:v>
      </x:c>
      <x:c r="H320" s="45" t="n">
        <x:f>IF(G320="","",ROUNDUP(G320*3,0))</x:f>
        <x:v>15000</x:v>
      </x:c>
      <x:c r="I320" s="41" t="n">
        <x:v>1</x:v>
      </x:c>
      <x:c r="J320" s="42" t="n">
        <x:v>60</x:v>
      </x:c>
      <x:c r="K320" s="42" t="n">
        <x:v>25</x:v>
      </x:c>
      <x:c r="L320" s="42" t="n">
        <x:v>35</x:v>
      </x:c>
      <x:c r="M320" s="42" t="n">
        <x:v>70</x:v>
      </x:c>
      <x:c r="N320" s="42" t="n">
        <x:v>80</x:v>
      </x:c>
      <x:c r="O320" s="42" t="n">
        <x:v>60</x:v>
      </x:c>
      <x:c r="P320" s="43" t="n">
        <x:f>IF(COUNT(J320:O320)=0,"",SUM(J320:O320))</x:f>
        <x:v>330</x:v>
      </x:c>
      <x:c r="Q320" s="23" t="str">
        <x:v>1 lignes de spawn</x:v>
      </x:c>
      <x:c r="R320" s="23" t="str">
        <x:v>Spoink rebondit sur sa queue. Le choc de ses rebonds fait battre son cœur. En conséquence, ce Pokémon ne peut pas se permettre d'arrêter de rebondir — s'il s'arrête, son cœur s'arrête.</x:v>
      </x:c>
      <x:c r="S320" s="23" t="str"/>
      <x:c r="T320" s="23" t="str">
        <x:v>https://pixelmonmod.com/wiki/Spoink</x:v>
      </x:c>
    </x:row>
    <x:row r="321" ht="54" customHeight="1">
      <x:c r="A321" s="27" t="n">
        <x:v>326</x:v>
      </x:c>
      <x:c r="B321" s="23" t="str">
        <x:v>Groret</x:v>
      </x:c>
      <x:c r="C321" s="23" t="str">
        <x:v>Grumpig</x:v>
      </x:c>
      <x:c r="D321" s="23" t="str">
        <x:v>Psy</x:v>
      </x:c>
      <x:c r="E321" s="23" t="str"/>
      <x:c r="F321" s="23" t="str">
        <x:v>Ultra Rare</x:v>
      </x:c>
      <x:c r="G321" s="45" t="n">
        <x:v>75000</x:v>
      </x:c>
      <x:c r="H321" s="45" t="n">
        <x:f>IF(G321="","",ROUNDUP(G321*3,0))</x:f>
        <x:v>225000</x:v>
      </x:c>
      <x:c r="I321" s="41" t="n">
        <x:v>1</x:v>
      </x:c>
      <x:c r="J321" s="42" t="n">
        <x:v>80</x:v>
      </x:c>
      <x:c r="K321" s="42" t="n">
        <x:v>45</x:v>
      </x:c>
      <x:c r="L321" s="42" t="n">
        <x:v>65</x:v>
      </x:c>
      <x:c r="M321" s="42" t="n">
        <x:v>90</x:v>
      </x:c>
      <x:c r="N321" s="42" t="n">
        <x:v>110</x:v>
      </x:c>
      <x:c r="O321" s="42" t="n">
        <x:v>80</x:v>
      </x:c>
      <x:c r="P321" s="43" t="n">
        <x:f>IF(COUNT(J321:O321)=0,"",SUM(J321:O321))</x:f>
        <x:v>470</x:v>
      </x:c>
      <x:c r="Q321" s="23" t="str">
        <x:v>1 lignes de spawn</x:v>
      </x:c>
      <x:c r="R321" s="23" t="str">
        <x:v>Groret utilise les perles noires sur son corps pour amplifier ses ondes psychiques et prendre totalement le contrôle de son adversaire. Lorsqu'il utilise ce pouvoir spécial, son souffle devient bruyant et difficile.</x:v>
      </x:c>
      <x:c r="S321" s="23" t="str"/>
      <x:c r="T321" s="23" t="str">
        <x:v>https://pixelmonmod.com/wiki/Grumpig</x:v>
      </x:c>
    </x:row>
    <x:row r="322" ht="54" customHeight="1">
      <x:c r="A322" s="27" t="n">
        <x:v>327</x:v>
      </x:c>
      <x:c r="B322" s="23" t="str">
        <x:v>Spinda</x:v>
      </x:c>
      <x:c r="C322" s="23" t="str">
        <x:v>Spinda</x:v>
      </x:c>
      <x:c r="D322" s="23" t="str">
        <x:v>Normal</x:v>
      </x:c>
      <x:c r="E322" s="23" t="str"/>
      <x:c r="F322" s="23" t="str">
        <x:v>Uncommon</x:v>
      </x:c>
      <x:c r="G322" s="45" t="n">
        <x:v>5000</x:v>
      </x:c>
      <x:c r="H322" s="45" t="n">
        <x:f>IF(G322="","",ROUNDUP(G322*3,0))</x:f>
        <x:v>15000</x:v>
      </x:c>
      <x:c r="I322" s="41" t="n">
        <x:v>1</x:v>
      </x:c>
      <x:c r="J322" s="42" t="n">
        <x:v>60</x:v>
      </x:c>
      <x:c r="K322" s="42" t="n">
        <x:v>60</x:v>
      </x:c>
      <x:c r="L322" s="42" t="n">
        <x:v>60</x:v>
      </x:c>
      <x:c r="M322" s="42" t="n">
        <x:v>60</x:v>
      </x:c>
      <x:c r="N322" s="42" t="n">
        <x:v>60</x:v>
      </x:c>
      <x:c r="O322" s="42" t="n">
        <x:v>60</x:v>
      </x:c>
      <x:c r="P322" s="43" t="n">
        <x:f>IF(COUNT(J322:O322)=0,"",SUM(J322:O322))</x:f>
        <x:v>360</x:v>
      </x:c>
      <x:c r="Q322" s="23" t="str">
        <x:v>2 lignes de spawn</x:v>
      </x:c>
      <x:c r="R322" s="23" t="str">
        <x:v>Toutes les Spinda du monde sont dites posséder un motif de taches absolument unique. Les pas hésitants et chancelants de ce Pokémon lui donnent l'allure d'être en train de danser.</x:v>
      </x:c>
      <x:c r="S322" s="23" t="str"/>
      <x:c r="T322" s="23" t="str">
        <x:v>https://pixelmonmod.com/wiki/Spinda</x:v>
      </x:c>
    </x:row>
    <x:row r="323" ht="54" customHeight="1">
      <x:c r="A323" s="27" t="n">
        <x:v>328</x:v>
      </x:c>
      <x:c r="B323" s="23" t="str">
        <x:v>Kraknoix</x:v>
      </x:c>
      <x:c r="C323" s="23" t="str">
        <x:v>Trapinch</x:v>
      </x:c>
      <x:c r="D323" s="23" t="str">
        <x:v>Sol</x:v>
      </x:c>
      <x:c r="E323" s="23" t="str"/>
      <x:c r="F323" s="23" t="str">
        <x:v>Uncommon / Ultra Rare</x:v>
      </x:c>
      <x:c r="G323" s="45" t="n">
        <x:v>75000</x:v>
      </x:c>
      <x:c r="H323" s="45" t="n">
        <x:f>IF(G323="","",ROUNDUP(G323*3,0))</x:f>
        <x:v>225000</x:v>
      </x:c>
      <x:c r="I323" s="41" t="n">
        <x:v>0.5</x:v>
      </x:c>
      <x:c r="J323" s="42" t="n">
        <x:v>45</x:v>
      </x:c>
      <x:c r="K323" s="42" t="n">
        <x:v>100</x:v>
      </x:c>
      <x:c r="L323" s="42" t="n">
        <x:v>45</x:v>
      </x:c>
      <x:c r="M323" s="42" t="n">
        <x:v>45</x:v>
      </x:c>
      <x:c r="N323" s="42" t="n">
        <x:v>45</x:v>
      </x:c>
      <x:c r="O323" s="42" t="n">
        <x:v>10</x:v>
      </x:c>
      <x:c r="P323" s="43" t="n">
        <x:f>IF(COUNT(J323:O323)=0,"",SUM(J323:O323))</x:f>
        <x:v>290</x:v>
      </x:c>
      <x:c r="Q323" s="23" t="str">
        <x:v>2 lignes de spawn</x:v>
      </x:c>
      <x:c r="R323" s="23" t="str">
        <x:v>Le nid de Kraknoix est une fosse en pente creusée dans le sable. Ce Pokémon attend patiemment que des proies y tombent. Ses énormes mâchoires sont assez puissantes pour broyer des rochers.</x:v>
      </x:c>
      <x:c r="S323" s="23" t="str">
        <x:v>Égalité de fréquence; prix provisoire basé sur le palier le plus élevé.</x:v>
      </x:c>
      <x:c r="T323" s="23" t="str">
        <x:v>https://pixelmonmod.com/wiki/Trapinch</x:v>
      </x:c>
    </x:row>
    <x:row r="324" ht="54" customHeight="1">
      <x:c r="A324" s="27" t="n">
        <x:v>329</x:v>
      </x:c>
      <x:c r="B324" s="23" t="str">
        <x:v>Vibraninf</x:v>
      </x:c>
      <x:c r="C324" s="23" t="str">
        <x:v>Vibrava</x:v>
      </x:c>
      <x:c r="D324" s="23" t="str">
        <x:v>Sol</x:v>
      </x:c>
      <x:c r="E324" s="23" t="str">
        <x:v>Dragon</x:v>
      </x:c>
      <x:c r="F324" s="23" t="str">
        <x:v>Ultra Rare</x:v>
      </x:c>
      <x:c r="G324" s="45" t="n">
        <x:v>75000</x:v>
      </x:c>
      <x:c r="H324" s="45" t="n">
        <x:f>IF(G324="","",ROUNDUP(G324*3,0))</x:f>
        <x:v>225000</x:v>
      </x:c>
      <x:c r="I324" s="41" t="n">
        <x:v>0.8</x:v>
      </x:c>
      <x:c r="J324" s="42" t="n">
        <x:v>50</x:v>
      </x:c>
      <x:c r="K324" s="42" t="n">
        <x:v>70</x:v>
      </x:c>
      <x:c r="L324" s="42" t="n">
        <x:v>50</x:v>
      </x:c>
      <x:c r="M324" s="42" t="n">
        <x:v>50</x:v>
      </x:c>
      <x:c r="N324" s="42" t="n">
        <x:v>50</x:v>
      </x:c>
      <x:c r="O324" s="42" t="n">
        <x:v>70</x:v>
      </x:c>
      <x:c r="P324" s="43" t="n">
        <x:f>IF(COUNT(J324:O324)=0,"",SUM(J324:O324))</x:f>
        <x:v>340</x:v>
      </x:c>
      <x:c r="Q324" s="23" t="str">
        <x:v>5 lignes de spawn</x:v>
      </x:c>
      <x:c r="R324" s="23" t="str">
        <x:v>Pour étourdir ses proies, Vibraninf génère des ondes ultrasoniques en faisant vibrer ses deux ailes avec force. Ces ondes sont si puissantes qu'elles peuvent provoquer des maux de tête chez l'humain.</x:v>
      </x:c>
      <x:c r="S324" s="23" t="str"/>
      <x:c r="T324" s="23" t="str">
        <x:v>https://pixelmonmod.com/wiki/Vibrava</x:v>
      </x:c>
    </x:row>
    <x:row r="325" ht="54" customHeight="1">
      <x:c r="A325" s="27" t="n">
        <x:v>330</x:v>
      </x:c>
      <x:c r="B325" s="23" t="str">
        <x:v>Libégon</x:v>
      </x:c>
      <x:c r="C325" s="23" t="str">
        <x:v>Flygon</x:v>
      </x:c>
      <x:c r="D325" s="23" t="str">
        <x:v>Sol</x:v>
      </x:c>
      <x:c r="E325" s="23" t="str">
        <x:v>Dragon</x:v>
      </x:c>
      <x:c r="F325" s="23" t="str">
        <x:v>Ultra Rare</x:v>
      </x:c>
      <x:c r="G325" s="45" t="n">
        <x:v>75000</x:v>
      </x:c>
      <x:c r="H325" s="45" t="n">
        <x:f>IF(G325="","",ROUNDUP(G325*3,0))</x:f>
        <x:v>225000</x:v>
      </x:c>
      <x:c r="I325" s="41" t="n">
        <x:v>1</x:v>
      </x:c>
      <x:c r="J325" s="42" t="n">
        <x:v>80</x:v>
      </x:c>
      <x:c r="K325" s="42" t="n">
        <x:v>100</x:v>
      </x:c>
      <x:c r="L325" s="42" t="n">
        <x:v>80</x:v>
      </x:c>
      <x:c r="M325" s="42" t="n">
        <x:v>80</x:v>
      </x:c>
      <x:c r="N325" s="42" t="n">
        <x:v>80</x:v>
      </x:c>
      <x:c r="O325" s="42" t="n">
        <x:v>100</x:v>
      </x:c>
      <x:c r="P325" s="43" t="n">
        <x:f>IF(COUNT(J325:O325)=0,"",SUM(J325:O325))</x:f>
        <x:v>520</x:v>
      </x:c>
      <x:c r="Q325" s="23" t="str">
        <x:v>5 lignes de spawn</x:v>
      </x:c>
      <x:c r="R325" s="23" t="str">
        <x:v>Libégon est surnommé « l'esprit élémentaire du désert ». Ses ailes soulèvent un nuage de sable, l'enveloppant constamment d'une tempête.</x:v>
      </x:c>
      <x:c r="S325" s="23" t="str"/>
      <x:c r="T325" s="23" t="str">
        <x:v>https://pixelmonmod.com/wiki/Flygon</x:v>
      </x:c>
    </x:row>
    <x:row r="326" ht="54" customHeight="1">
      <x:c r="A326" s="27" t="n">
        <x:v>331</x:v>
      </x:c>
      <x:c r="B326" s="23" t="str">
        <x:v>Cacnea</x:v>
      </x:c>
      <x:c r="C326" s="23" t="str">
        <x:v>Cacnea</x:v>
      </x:c>
      <x:c r="D326" s="23" t="str">
        <x:v>Plante</x:v>
      </x:c>
      <x:c r="E326" s="23" t="str"/>
      <x:c r="F326" s="23" t="str">
        <x:v>Uncommon</x:v>
      </x:c>
      <x:c r="G326" s="45" t="n">
        <x:v>5000</x:v>
      </x:c>
      <x:c r="H326" s="45" t="n">
        <x:f>IF(G326="","",ROUNDUP(G326*3,0))</x:f>
        <x:v>15000</x:v>
      </x:c>
      <x:c r="I326" s="41" t="n">
        <x:v>0.667</x:v>
      </x:c>
      <x:c r="J326" s="42" t="n">
        <x:v>50</x:v>
      </x:c>
      <x:c r="K326" s="42" t="n">
        <x:v>85</x:v>
      </x:c>
      <x:c r="L326" s="42" t="n">
        <x:v>40</x:v>
      </x:c>
      <x:c r="M326" s="42" t="n">
        <x:v>85</x:v>
      </x:c>
      <x:c r="N326" s="42" t="n">
        <x:v>40</x:v>
      </x:c>
      <x:c r="O326" s="42" t="n">
        <x:v>35</x:v>
      </x:c>
      <x:c r="P326" s="43" t="n">
        <x:f>IF(COUNT(J326:O326)=0,"",SUM(J326:O326))</x:f>
        <x:v>335</x:v>
      </x:c>
      <x:c r="Q326" s="23" t="str">
        <x:v>6 lignes de spawn</x:v>
      </x:c>
      <x:c r="R326" s="23" t="str">
        <x:v>Cacnea vit dans des zones arides comme les déserts. Il libère un puissant arôme depuis sa fleur pour attirer ses proies. Lorsque l'une d'elles s'approche, ce Pokémon lance les épines acérées de son corps pour l'abattre.</x:v>
      </x:c>
      <x:c r="S326" s="23" t="str"/>
      <x:c r="T326" s="23" t="str">
        <x:v>https://pixelmonmod.com/wiki/Cacnea</x:v>
      </x:c>
    </x:row>
    <x:row r="327" ht="54" customHeight="1">
      <x:c r="A327" s="27" t="n">
        <x:v>332</x:v>
      </x:c>
      <x:c r="B327" s="23" t="str">
        <x:v>Cacturne</x:v>
      </x:c>
      <x:c r="C327" s="23" t="str">
        <x:v>Cacturne</x:v>
      </x:c>
      <x:c r="D327" s="23" t="str">
        <x:v>Plante</x:v>
      </x:c>
      <x:c r="E327" s="23" t="str">
        <x:v>Ténèbres</x:v>
      </x:c>
      <x:c r="F327" s="23" t="str">
        <x:v>Very Rare</x:v>
      </x:c>
      <x:c r="G327" s="45" t="n">
        <x:v>30000</x:v>
      </x:c>
      <x:c r="H327" s="45" t="n">
        <x:f>IF(G327="","",ROUNDUP(G327*3,0))</x:f>
        <x:v>90000</x:v>
      </x:c>
      <x:c r="I327" s="41" t="n">
        <x:v>0.5710000000000001</x:v>
      </x:c>
      <x:c r="J327" s="42" t="n">
        <x:v>70</x:v>
      </x:c>
      <x:c r="K327" s="42" t="n">
        <x:v>115</x:v>
      </x:c>
      <x:c r="L327" s="42" t="n">
        <x:v>60</x:v>
      </x:c>
      <x:c r="M327" s="42" t="n">
        <x:v>115</x:v>
      </x:c>
      <x:c r="N327" s="42" t="n">
        <x:v>60</x:v>
      </x:c>
      <x:c r="O327" s="42" t="n">
        <x:v>55</x:v>
      </x:c>
      <x:c r="P327" s="43" t="n">
        <x:f>IF(COUNT(J327:O327)=0,"",SUM(J327:O327))</x:f>
        <x:v>475</x:v>
      </x:c>
      <x:c r="Q327" s="23" t="str">
        <x:v>7 lignes de spawn</x:v>
      </x:c>
      <x:c r="R327" s="23" t="str">
        <x:v>Pendant la journée, Cacturne reste immobile afin d'éviter de perdre son humidité sous le soleil brûlant du désert. Ce Pokémon devient actif la nuit, lorsque la température baisse.</x:v>
      </x:c>
      <x:c r="S327" s="23" t="str">
        <x:v>Very Rare aligné sur le palier Super Rare (provisoire).</x:v>
      </x:c>
      <x:c r="T327" s="23" t="str">
        <x:v>https://pixelmonmod.com/wiki/Cacturne</x:v>
      </x:c>
    </x:row>
    <x:row r="328" ht="54" customHeight="1">
      <x:c r="A328" s="27" t="n">
        <x:v>333</x:v>
      </x:c>
      <x:c r="B328" s="23" t="str">
        <x:v>Tylton</x:v>
      </x:c>
      <x:c r="C328" s="23" t="str">
        <x:v>Swablu</x:v>
      </x:c>
      <x:c r="D328" s="23" t="str">
        <x:v>Normal</x:v>
      </x:c>
      <x:c r="E328" s="23" t="str">
        <x:v>Vol</x:v>
      </x:c>
      <x:c r="F328" s="23" t="str">
        <x:v>Uncommon</x:v>
      </x:c>
      <x:c r="G328" s="45" t="n">
        <x:v>5000</x:v>
      </x:c>
      <x:c r="H328" s="45" t="n">
        <x:f>IF(G328="","",ROUNDUP(G328*3,0))</x:f>
        <x:v>15000</x:v>
      </x:c>
      <x:c r="I328" s="41" t="n">
        <x:v>1</x:v>
      </x:c>
      <x:c r="J328" s="42" t="n">
        <x:v>45</x:v>
      </x:c>
      <x:c r="K328" s="42" t="n">
        <x:v>40</x:v>
      </x:c>
      <x:c r="L328" s="42" t="n">
        <x:v>60</x:v>
      </x:c>
      <x:c r="M328" s="42" t="n">
        <x:v>40</x:v>
      </x:c>
      <x:c r="N328" s="42" t="n">
        <x:v>75</x:v>
      </x:c>
      <x:c r="O328" s="42" t="n">
        <x:v>50</x:v>
      </x:c>
      <x:c r="P328" s="43" t="n">
        <x:f>IF(COUNT(J328:O328)=0,"",SUM(J328:O328))</x:f>
        <x:v>310</x:v>
      </x:c>
      <x:c r="Q328" s="23" t="str">
        <x:v>7 lignes de spawn</x:v>
      </x:c>
      <x:c r="R328" s="23" t="str">
        <x:v>Tylton possède des ailes légères et duveteuses comme des nuages de coton. Il n'a pas peur des humains. Il se pose sur leur tête et reste là comme un chapeau de coton.</x:v>
      </x:c>
      <x:c r="S328" s="23" t="str"/>
      <x:c r="T328" s="23" t="str">
        <x:v>https://pixelmonmod.com/wiki/Swablu</x:v>
      </x:c>
    </x:row>
    <x:row r="329" ht="54" customHeight="1">
      <x:c r="A329" s="27" t="n">
        <x:v>334</x:v>
      </x:c>
      <x:c r="B329" s="23" t="str">
        <x:v>Altaria</x:v>
      </x:c>
      <x:c r="C329" s="23" t="str">
        <x:v>Altaria</x:v>
      </x:c>
      <x:c r="D329" s="23" t="str">
        <x:v>Dragon</x:v>
      </x:c>
      <x:c r="E329" s="23" t="str">
        <x:v>Vol</x:v>
      </x:c>
      <x:c r="F329" s="23" t="str">
        <x:v>Ultra Rare</x:v>
      </x:c>
      <x:c r="G329" s="45" t="n">
        <x:v>75000</x:v>
      </x:c>
      <x:c r="H329" s="45" t="n">
        <x:f>IF(G329="","",ROUNDUP(G329*3,0))</x:f>
        <x:v>225000</x:v>
      </x:c>
      <x:c r="I329" s="41" t="n">
        <x:v>0.9</x:v>
      </x:c>
      <x:c r="J329" s="42" t="n">
        <x:v>75</x:v>
      </x:c>
      <x:c r="K329" s="42" t="n">
        <x:v>70</x:v>
      </x:c>
      <x:c r="L329" s="42" t="n">
        <x:v>90</x:v>
      </x:c>
      <x:c r="M329" s="42" t="n">
        <x:v>70</x:v>
      </x:c>
      <x:c r="N329" s="42" t="n">
        <x:v>105</x:v>
      </x:c>
      <x:c r="O329" s="42" t="n">
        <x:v>80</x:v>
      </x:c>
      <x:c r="P329" s="43" t="n">
        <x:f>IF(COUNT(J329:O329)=0,"",SUM(J329:O329))</x:f>
        <x:v>490</x:v>
      </x:c>
      <x:c r="Q329" s="23" t="str">
        <x:v>10 lignes de spawn</x:v>
      </x:c>
      <x:c r="R329" s="23" t="str">
        <x:v>Altaria danse et virevolte dans le ciel parmi les nuages cotonneux. En chantant avec sa voix cristalline, il plonge ses auditeurs dans une douce rêverie.</x:v>
      </x:c>
      <x:c r="S329" s="23" t="str"/>
      <x:c r="T329" s="23" t="str">
        <x:v>https://pixelmonmod.com/wiki/Altaria</x:v>
      </x:c>
    </x:row>
    <x:row r="330" ht="54" customHeight="1">
      <x:c r="A330" s="27" t="n">
        <x:v>335</x:v>
      </x:c>
      <x:c r="B330" s="23" t="str">
        <x:v>Mangriff</x:v>
      </x:c>
      <x:c r="C330" s="23" t="str">
        <x:v>Zangoose</x:v>
      </x:c>
      <x:c r="D330" s="23" t="str">
        <x:v>Normal</x:v>
      </x:c>
      <x:c r="E330" s="23" t="str"/>
      <x:c r="F330" s="23" t="str">
        <x:v>Rare</x:v>
      </x:c>
      <x:c r="G330" s="45" t="n">
        <x:v>12000</x:v>
      </x:c>
      <x:c r="H330" s="45" t="n">
        <x:f>IF(G330="","",ROUNDUP(G330*3,0))</x:f>
        <x:v>36000</x:v>
      </x:c>
      <x:c r="I330" s="41" t="n">
        <x:v>1</x:v>
      </x:c>
      <x:c r="J330" s="42" t="n">
        <x:v>73</x:v>
      </x:c>
      <x:c r="K330" s="42" t="n">
        <x:v>115</x:v>
      </x:c>
      <x:c r="L330" s="42" t="n">
        <x:v>60</x:v>
      </x:c>
      <x:c r="M330" s="42" t="n">
        <x:v>60</x:v>
      </x:c>
      <x:c r="N330" s="42" t="n">
        <x:v>60</x:v>
      </x:c>
      <x:c r="O330" s="42" t="n">
        <x:v>90</x:v>
      </x:c>
      <x:c r="P330" s="43" t="n">
        <x:f>IF(COUNT(J330:O330)=0,"",SUM(J330:O330))</x:f>
        <x:v>458</x:v>
      </x:c>
      <x:c r="Q330" s="23" t="str">
        <x:v>3 lignes de spawn</x:v>
      </x:c>
      <x:c r="R330" s="23" t="str">
        <x:v>Les souvenirs de ses affrontements contre son rival Séviper sont gravés dans chaque cellule de son corps. Ce Pokémon esquive habilement les attaques grâce à une agilité incroyable.</x:v>
      </x:c>
      <x:c r="S330" s="23" t="str"/>
      <x:c r="T330" s="23" t="str">
        <x:v>https://pixelmonmod.com/wiki/Zangoose</x:v>
      </x:c>
    </x:row>
    <x:row r="331" ht="54" customHeight="1">
      <x:c r="A331" s="27" t="n">
        <x:v>336</x:v>
      </x:c>
      <x:c r="B331" s="23" t="str">
        <x:v>Sévipère</x:v>
      </x:c>
      <x:c r="C331" s="23" t="str">
        <x:v>Seviper</x:v>
      </x:c>
      <x:c r="D331" s="23" t="str">
        <x:v>Poison</x:v>
      </x:c>
      <x:c r="E331" s="23" t="str"/>
      <x:c r="F331" s="23" t="str">
        <x:v>Rare</x:v>
      </x:c>
      <x:c r="G331" s="45" t="n">
        <x:v>12000</x:v>
      </x:c>
      <x:c r="H331" s="45" t="n">
        <x:f>IF(G331="","",ROUNDUP(G331*3,0))</x:f>
        <x:v>36000</x:v>
      </x:c>
      <x:c r="I331" s="41" t="n">
        <x:v>1</x:v>
      </x:c>
      <x:c r="J331" s="42" t="n">
        <x:v>73</x:v>
      </x:c>
      <x:c r="K331" s="42" t="n">
        <x:v>100</x:v>
      </x:c>
      <x:c r="L331" s="42" t="n">
        <x:v>60</x:v>
      </x:c>
      <x:c r="M331" s="42" t="n">
        <x:v>100</x:v>
      </x:c>
      <x:c r="N331" s="42" t="n">
        <x:v>60</x:v>
      </x:c>
      <x:c r="O331" s="42" t="n">
        <x:v>65</x:v>
      </x:c>
      <x:c r="P331" s="43" t="n">
        <x:f>IF(COUNT(J331:O331)=0,"",SUM(J331:O331))</x:f>
        <x:v>458</x:v>
      </x:c>
      <x:c r="Q331" s="23" t="str">
        <x:v>3 lignes de spawn</x:v>
      </x:c>
      <x:c r="R331" s="23" t="str">
        <x:v>Sévipère entretient une rivalité ancestrale avec Mangriff. Les cicatrices sur son corps témoignent de combats féroces. Il attaque en utilisant sa queue tranchante comme une lame.</x:v>
      </x:c>
      <x:c r="S331" s="23" t="str"/>
      <x:c r="T331" s="23" t="str">
        <x:v>https://pixelmonmod.com/wiki/Seviper</x:v>
      </x:c>
    </x:row>
    <x:row r="332" ht="54" customHeight="1">
      <x:c r="A332" s="27" t="n">
        <x:v>337</x:v>
      </x:c>
      <x:c r="B332" s="23" t="str">
        <x:v>Séléroc</x:v>
      </x:c>
      <x:c r="C332" s="23" t="str">
        <x:v>Lunatone</x:v>
      </x:c>
      <x:c r="D332" s="23" t="str">
        <x:v>Roche</x:v>
      </x:c>
      <x:c r="E332" s="23" t="str">
        <x:v>Psy</x:v>
      </x:c>
      <x:c r="F332" s="23" t="str">
        <x:v>Ultra Rare</x:v>
      </x:c>
      <x:c r="G332" s="45" t="n">
        <x:v>75000</x:v>
      </x:c>
      <x:c r="H332" s="45" t="n">
        <x:f>IF(G332="","",ROUNDUP(G332*3,0))</x:f>
        <x:v>225000</x:v>
      </x:c>
      <x:c r="I332" s="41" t="n">
        <x:v>1</x:v>
      </x:c>
      <x:c r="J332" s="42" t="n">
        <x:v>90</x:v>
      </x:c>
      <x:c r="K332" s="42" t="n">
        <x:v>55</x:v>
      </x:c>
      <x:c r="L332" s="42" t="n">
        <x:v>65</x:v>
      </x:c>
      <x:c r="M332" s="42" t="n">
        <x:v>95</x:v>
      </x:c>
      <x:c r="N332" s="42" t="n">
        <x:v>85</x:v>
      </x:c>
      <x:c r="O332" s="42" t="n">
        <x:v>70</x:v>
      </x:c>
      <x:c r="P332" s="43" t="n">
        <x:f>IF(COUNT(J332:O332)=0,"",SUM(J332:O332))</x:f>
        <x:v>460</x:v>
      </x:c>
      <x:c r="Q332" s="23" t="str">
        <x:v>10 lignes de spawn</x:v>
      </x:c>
      <x:c r="R332" s="23" t="str">
        <x:v>Séléroc fut découvert à l'endroit où un météoroïde s'était écrasé. Certains pensent donc que ce Pokémon vient de l'espace, mais personne n'a encore pu le prouver.</x:v>
      </x:c>
      <x:c r="S332" s="23" t="str"/>
      <x:c r="T332" s="23" t="str">
        <x:v>https://pixelmonmod.com/wiki/Lunatone</x:v>
      </x:c>
    </x:row>
    <x:row r="333" ht="54" customHeight="1">
      <x:c r="A333" s="27" t="n">
        <x:v>338</x:v>
      </x:c>
      <x:c r="B333" s="23" t="str">
        <x:v>Solaroc</x:v>
      </x:c>
      <x:c r="C333" s="23" t="str">
        <x:v>Solrock</x:v>
      </x:c>
      <x:c r="D333" s="23" t="str">
        <x:v>Roche</x:v>
      </x:c>
      <x:c r="E333" s="23" t="str">
        <x:v>Psy</x:v>
      </x:c>
      <x:c r="F333" s="23" t="str">
        <x:v>Ultra Rare</x:v>
      </x:c>
      <x:c r="G333" s="45" t="n">
        <x:v>75000</x:v>
      </x:c>
      <x:c r="H333" s="45" t="n">
        <x:f>IF(G333="","",ROUNDUP(G333*3,0))</x:f>
        <x:v>225000</x:v>
      </x:c>
      <x:c r="I333" s="41" t="n">
        <x:v>1</x:v>
      </x:c>
      <x:c r="J333" s="42" t="n">
        <x:v>90</x:v>
      </x:c>
      <x:c r="K333" s="42" t="n">
        <x:v>95</x:v>
      </x:c>
      <x:c r="L333" s="42" t="n">
        <x:v>85</x:v>
      </x:c>
      <x:c r="M333" s="42" t="n">
        <x:v>55</x:v>
      </x:c>
      <x:c r="N333" s="42" t="n">
        <x:v>65</x:v>
      </x:c>
      <x:c r="O333" s="42" t="n">
        <x:v>70</x:v>
      </x:c>
      <x:c r="P333" s="43" t="n">
        <x:f>IF(COUNT(J333:O333)=0,"",SUM(J333:O333))</x:f>
        <x:v>460</x:v>
      </x:c>
      <x:c r="Q333" s="23" t="str">
        <x:v>3 lignes de spawn</x:v>
      </x:c>
      <x:c r="R333" s="23" t="str">
        <x:v>Solaroc serait un Pokémon tombé de l'espace. Il flotte dans les airs en silence. En combat, il émet une lumière intensément brillante.</x:v>
      </x:c>
      <x:c r="S333" s="23" t="str"/>
      <x:c r="T333" s="23" t="str">
        <x:v>https://pixelmonmod.com/wiki/Solrock</x:v>
      </x:c>
    </x:row>
    <x:row r="334" ht="54" customHeight="1">
      <x:c r="A334" s="27" t="n">
        <x:v>339</x:v>
      </x:c>
      <x:c r="B334" s="23" t="str">
        <x:v>Barloche</x:v>
      </x:c>
      <x:c r="C334" s="23" t="str">
        <x:v>Barboach</x:v>
      </x:c>
      <x:c r="D334" s="23" t="str">
        <x:v>Eau</x:v>
      </x:c>
      <x:c r="E334" s="23" t="str">
        <x:v>Sol</x:v>
      </x:c>
      <x:c r="F334" s="23" t="str">
        <x:v>Uncommon</x:v>
      </x:c>
      <x:c r="G334" s="45" t="n">
        <x:v>5000</x:v>
      </x:c>
      <x:c r="H334" s="45" t="n">
        <x:f>IF(G334="","",ROUNDUP(G334*3,0))</x:f>
        <x:v>15000</x:v>
      </x:c>
      <x:c r="I334" s="41" t="n">
        <x:v>0.545</x:v>
      </x:c>
      <x:c r="J334" s="42" t="n">
        <x:v>50</x:v>
      </x:c>
      <x:c r="K334" s="42" t="n">
        <x:v>48</x:v>
      </x:c>
      <x:c r="L334" s="42" t="n">
        <x:v>43</x:v>
      </x:c>
      <x:c r="M334" s="42" t="n">
        <x:v>46</x:v>
      </x:c>
      <x:c r="N334" s="42" t="n">
        <x:v>41</x:v>
      </x:c>
      <x:c r="O334" s="42" t="n">
        <x:v>60</x:v>
      </x:c>
      <x:c r="P334" s="43" t="n">
        <x:f>IF(COUNT(J334:O334)=0,"",SUM(J334:O334))</x:f>
        <x:v>288</x:v>
      </x:c>
      <x:c r="Q334" s="23" t="str">
        <x:v>11 lignes de spawn</x:v>
      </x:c>
      <x:c r="R334" s="23" t="str">
        <x:v>Les barbillons sensibles de Barloche lui servent de radar extrêmement efficace. Ce Pokémon se cache dans la boue, ne laissant dépasser que ses deux barbillons en attendant qu'une proie passe à proximité.</x:v>
      </x:c>
      <x:c r="S334" s="23" t="str"/>
      <x:c r="T334" s="23" t="str">
        <x:v>https://pixelmonmod.com/wiki/Barboach</x:v>
      </x:c>
    </x:row>
    <x:row r="335" ht="54" customHeight="1">
      <x:c r="A335" s="27" t="n">
        <x:v>340</x:v>
      </x:c>
      <x:c r="B335" s="23" t="str">
        <x:v>Barbicha</x:v>
      </x:c>
      <x:c r="C335" s="23" t="str">
        <x:v>Whiscash</x:v>
      </x:c>
      <x:c r="D335" s="23" t="str">
        <x:v>Eau</x:v>
      </x:c>
      <x:c r="E335" s="23" t="str">
        <x:v>Sol</x:v>
      </x:c>
      <x:c r="F335" s="23" t="str">
        <x:v>Ultra Rare</x:v>
      </x:c>
      <x:c r="G335" s="45" t="n">
        <x:v>75000</x:v>
      </x:c>
      <x:c r="H335" s="45" t="n">
        <x:f>IF(G335="","",ROUNDUP(G335*3,0))</x:f>
        <x:v>225000</x:v>
      </x:c>
      <x:c r="I335" s="41" t="n">
        <x:v>0.6920000000000001</x:v>
      </x:c>
      <x:c r="J335" s="42" t="n">
        <x:v>110</x:v>
      </x:c>
      <x:c r="K335" s="42" t="n">
        <x:v>78</x:v>
      </x:c>
      <x:c r="L335" s="42" t="n">
        <x:v>73</x:v>
      </x:c>
      <x:c r="M335" s="42" t="n">
        <x:v>76</x:v>
      </x:c>
      <x:c r="N335" s="42" t="n">
        <x:v>71</x:v>
      </x:c>
      <x:c r="O335" s="42" t="n">
        <x:v>60</x:v>
      </x:c>
      <x:c r="P335" s="43" t="n">
        <x:f>IF(COUNT(J335:O335)=0,"",SUM(J335:O335))</x:f>
        <x:v>468</x:v>
      </x:c>
      <x:c r="Q335" s="23" t="str">
        <x:v>13 lignes de spawn</x:v>
      </x:c>
      <x:c r="R335" s="23" t="str">
        <x:v>Barbicha est extrêmement territorial. Un seul de ces Pokémon revendique un grand étang comme territoire exclusif. Si un intrus s'approche, il devient furieux et déclenche un énorme séisme.</x:v>
      </x:c>
      <x:c r="S335" s="23" t="str"/>
      <x:c r="T335" s="23" t="str">
        <x:v>https://pixelmonmod.com/wiki/Whiscash</x:v>
      </x:c>
    </x:row>
    <x:row r="336" ht="54" customHeight="1">
      <x:c r="A336" s="27" t="n">
        <x:v>341</x:v>
      </x:c>
      <x:c r="B336" s="23" t="str">
        <x:v>Écayon</x:v>
      </x:c>
      <x:c r="C336" s="23" t="str">
        <x:v>Corphish</x:v>
      </x:c>
      <x:c r="D336" s="23" t="str">
        <x:v>Eau</x:v>
      </x:c>
      <x:c r="E336" s="23" t="str"/>
      <x:c r="F336" s="23" t="str">
        <x:v>Uncommon</x:v>
      </x:c>
      <x:c r="G336" s="45" t="n">
        <x:v>5000</x:v>
      </x:c>
      <x:c r="H336" s="45" t="n">
        <x:f>IF(G336="","",ROUNDUP(G336*3,0))</x:f>
        <x:v>15000</x:v>
      </x:c>
      <x:c r="I336" s="41" t="n">
        <x:v>0.467</x:v>
      </x:c>
      <x:c r="J336" s="42" t="n">
        <x:v>43</x:v>
      </x:c>
      <x:c r="K336" s="42" t="n">
        <x:v>80</x:v>
      </x:c>
      <x:c r="L336" s="42" t="n">
        <x:v>65</x:v>
      </x:c>
      <x:c r="M336" s="42" t="n">
        <x:v>50</x:v>
      </x:c>
      <x:c r="N336" s="42" t="n">
        <x:v>35</x:v>
      </x:c>
      <x:c r="O336" s="42" t="n">
        <x:v>35</x:v>
      </x:c>
      <x:c r="P336" s="43" t="n">
        <x:f>IF(COUNT(J336:O336)=0,"",SUM(J336:O336))</x:f>
        <x:v>308</x:v>
      </x:c>
      <x:c r="Q336" s="23" t="str">
        <x:v>15 lignes de spawn</x:v>
      </x:c>
      <x:c r="R336" s="23" t="str">
        <x:v>À l'origine, Écayon était un Pokémon étranger importé comme animal de compagnie. Il a fini par apparaître à l'état sauvage. Ce Pokémon est très robuste et a vu sa population fortement augmenter.</x:v>
      </x:c>
      <x:c r="S336" s="23" t="str"/>
      <x:c r="T336" s="23" t="str">
        <x:v>https://pixelmonmod.com/wiki/Corphish</x:v>
      </x:c>
    </x:row>
    <x:row r="337" ht="54" customHeight="1">
      <x:c r="A337" s="27" t="n">
        <x:v>342</x:v>
      </x:c>
      <x:c r="B337" s="23" t="str">
        <x:v>Colhomard</x:v>
      </x:c>
      <x:c r="C337" s="23" t="str">
        <x:v>Crawdaunt</x:v>
      </x:c>
      <x:c r="D337" s="23" t="str">
        <x:v>Eau</x:v>
      </x:c>
      <x:c r="E337" s="23" t="str">
        <x:v>Ténèbres</x:v>
      </x:c>
      <x:c r="F337" s="23" t="str">
        <x:v>Ultra Rare</x:v>
      </x:c>
      <x:c r="G337" s="45" t="n">
        <x:v>75000</x:v>
      </x:c>
      <x:c r="H337" s="45" t="n">
        <x:f>IF(G337="","",ROUNDUP(G337*3,0))</x:f>
        <x:v>225000</x:v>
      </x:c>
      <x:c r="I337" s="41" t="n">
        <x:v>1</x:v>
      </x:c>
      <x:c r="J337" s="42" t="n">
        <x:v>63</x:v>
      </x:c>
      <x:c r="K337" s="42" t="n">
        <x:v>120</x:v>
      </x:c>
      <x:c r="L337" s="42" t="n">
        <x:v>85</x:v>
      </x:c>
      <x:c r="M337" s="42" t="n">
        <x:v>90</x:v>
      </x:c>
      <x:c r="N337" s="42" t="n">
        <x:v>55</x:v>
      </x:c>
      <x:c r="O337" s="42" t="n">
        <x:v>55</x:v>
      </x:c>
      <x:c r="P337" s="43" t="n">
        <x:f>IF(COUNT(J337:O337)=0,"",SUM(J337:O337))</x:f>
        <x:v>468</x:v>
      </x:c>
      <x:c r="Q337" s="23" t="str">
        <x:v>8 lignes de spawn</x:v>
      </x:c>
      <x:c r="R337" s="23" t="str">
        <x:v>Colhomard a une nature extrêmement violente qui le pousse à défier toute créature vivante. Les autres êtres refusent de vivre dans les étangs qu'il occupe, les rendant totalement déserts.</x:v>
      </x:c>
      <x:c r="S337" s="23" t="str"/>
      <x:c r="T337" s="23" t="str">
        <x:v>https://pixelmonmod.com/wiki/Crawdaunt</x:v>
      </x:c>
    </x:row>
    <x:row r="338" ht="54" customHeight="1">
      <x:c r="A338" s="27" t="n">
        <x:v>343</x:v>
      </x:c>
      <x:c r="B338" s="23" t="str">
        <x:v>Balbuto</x:v>
      </x:c>
      <x:c r="C338" s="23" t="str">
        <x:v>Baltoy</x:v>
      </x:c>
      <x:c r="D338" s="23" t="str">
        <x:v>Sol</x:v>
      </x:c>
      <x:c r="E338" s="23" t="str">
        <x:v>Psy</x:v>
      </x:c>
      <x:c r="F338" s="23" t="str">
        <x:v>Uncommon</x:v>
      </x:c>
      <x:c r="G338" s="45" t="n">
        <x:v>5000</x:v>
      </x:c>
      <x:c r="H338" s="45" t="n">
        <x:f>IF(G338="","",ROUNDUP(G338*3,0))</x:f>
        <x:v>15000</x:v>
      </x:c>
      <x:c r="I338" s="41" t="n">
        <x:v>0.857</x:v>
      </x:c>
      <x:c r="J338" s="42" t="n">
        <x:v>40</x:v>
      </x:c>
      <x:c r="K338" s="42" t="n">
        <x:v>40</x:v>
      </x:c>
      <x:c r="L338" s="42" t="n">
        <x:v>55</x:v>
      </x:c>
      <x:c r="M338" s="42" t="n">
        <x:v>40</x:v>
      </x:c>
      <x:c r="N338" s="42" t="n">
        <x:v>70</x:v>
      </x:c>
      <x:c r="O338" s="42" t="n">
        <x:v>55</x:v>
      </x:c>
      <x:c r="P338" s="43" t="n">
        <x:f>IF(COUNT(J338:O338)=0,"",SUM(J338:O338))</x:f>
        <x:v>300</x:v>
      </x:c>
      <x:c r="Q338" s="23" t="str">
        <x:v>7 lignes de spawn</x:v>
      </x:c>
      <x:c r="R338" s="23" t="str">
        <x:v>Balbuto se déplace en tournoyant sur son unique pied. Des peintures rupestres primitives représentant ce Pokémon vivant aux côtés des humains ont été découvertes dans d'anciennes ruines.</x:v>
      </x:c>
      <x:c r="S338" s="23" t="str"/>
      <x:c r="T338" s="23" t="str">
        <x:v>https://pixelmonmod.com/wiki/Baltoy</x:v>
      </x:c>
    </x:row>
    <x:row r="339" ht="54" customHeight="1">
      <x:c r="A339" s="27" t="n">
        <x:v>344</x:v>
      </x:c>
      <x:c r="B339" s="23" t="str">
        <x:v>Kaorine</x:v>
      </x:c>
      <x:c r="C339" s="23" t="str">
        <x:v>Claydol</x:v>
      </x:c>
      <x:c r="D339" s="23" t="str">
        <x:v>Sol</x:v>
      </x:c>
      <x:c r="E339" s="23" t="str">
        <x:v>Psy</x:v>
      </x:c>
      <x:c r="F339" s="23" t="str">
        <x:v>Ultra Rare</x:v>
      </x:c>
      <x:c r="G339" s="45" t="n">
        <x:v>75000</x:v>
      </x:c>
      <x:c r="H339" s="45" t="n">
        <x:f>IF(G339="","",ROUNDUP(G339*3,0))</x:f>
        <x:v>225000</x:v>
      </x:c>
      <x:c r="I339" s="41" t="n">
        <x:v>0.857</x:v>
      </x:c>
      <x:c r="J339" s="42" t="n">
        <x:v>60</x:v>
      </x:c>
      <x:c r="K339" s="42" t="n">
        <x:v>70</x:v>
      </x:c>
      <x:c r="L339" s="42" t="n">
        <x:v>105</x:v>
      </x:c>
      <x:c r="M339" s="42" t="n">
        <x:v>70</x:v>
      </x:c>
      <x:c r="N339" s="42" t="n">
        <x:v>120</x:v>
      </x:c>
      <x:c r="O339" s="42" t="n">
        <x:v>75</x:v>
      </x:c>
      <x:c r="P339" s="43" t="n">
        <x:f>IF(COUNT(J339:O339)=0,"",SUM(J339:O339))</x:f>
        <x:v>500</x:v>
      </x:c>
      <x:c r="Q339" s="23" t="str">
        <x:v>7 lignes de spawn</x:v>
      </x:c>
      <x:c r="R339" s="23" t="str">
        <x:v>On raconte que les Kaorine sont des poupées d'argile façonnées par des humains primitifs et animées par un mystérieux rayon. Ce Pokémon se déplace en lévitant.</x:v>
      </x:c>
      <x:c r="S339" s="23" t="str"/>
      <x:c r="T339" s="23" t="str">
        <x:v>https://pixelmonmod.com/wiki/Claydol</x:v>
      </x:c>
    </x:row>
    <x:row r="340" ht="54" customHeight="1">
      <x:c r="A340" s="27" t="n">
        <x:v>345</x:v>
      </x:c>
      <x:c r="B340" s="23" t="str">
        <x:v>Lilia</x:v>
      </x:c>
      <x:c r="C340" s="23" t="str">
        <x:v>Lileep</x:v>
      </x:c>
      <x:c r="D340" s="23" t="str">
        <x:v>Roche</x:v>
      </x:c>
      <x:c r="E340" s="23" t="str">
        <x:v>Plante</x:v>
      </x:c>
      <x:c r="F340" s="23" t="str">
        <x:v>Rare</x:v>
      </x:c>
      <x:c r="G340" s="45" t="n">
        <x:v>12000</x:v>
      </x:c>
      <x:c r="H340" s="45" t="n">
        <x:f>IF(G340="","",ROUNDUP(G340*3,0))</x:f>
        <x:v>36000</x:v>
      </x:c>
      <x:c r="I340" s="41" t="n">
        <x:v>1</x:v>
      </x:c>
      <x:c r="J340" s="42" t="n">
        <x:v>66</x:v>
      </x:c>
      <x:c r="K340" s="42" t="n">
        <x:v>41</x:v>
      </x:c>
      <x:c r="L340" s="42" t="n">
        <x:v>77</x:v>
      </x:c>
      <x:c r="M340" s="42" t="n">
        <x:v>61</x:v>
      </x:c>
      <x:c r="N340" s="42" t="n">
        <x:v>87</x:v>
      </x:c>
      <x:c r="O340" s="42" t="n">
        <x:v>23</x:v>
      </x:c>
      <x:c r="P340" s="43" t="n">
        <x:f>IF(COUNT(J340:O340)=0,"",SUM(J340:O340))</x:f>
        <x:v>355</x:v>
      </x:c>
      <x:c r="Q340" s="23" t="str">
        <x:v>1 lignes de spawn</x:v>
      </x:c>
      <x:c r="R340" s="23" t="str">
        <x:v>Lilia s'est éteint il y a environ cent millions d'années. Ce Pokémon ancien s'accroche à un rocher au fond de la mer et capture ses proies grâce à ses tentacules en forme de pétales.</x:v>
      </x:c>
      <x:c r="S340" s="23" t="str"/>
      <x:c r="T340" s="23" t="str">
        <x:v>https://pixelmonmod.com/wiki/Lileep</x:v>
      </x:c>
    </x:row>
    <x:row r="341" ht="54" customHeight="1">
      <x:c r="A341" s="27" t="n">
        <x:v>346</x:v>
      </x:c>
      <x:c r="B341" s="23" t="str">
        <x:v>Vacilys</x:v>
      </x:c>
      <x:c r="C341" s="23" t="str">
        <x:v>Cradily</x:v>
      </x:c>
      <x:c r="D341" s="23" t="str">
        <x:v>Roche</x:v>
      </x:c>
      <x:c r="E341" s="23" t="str">
        <x:v>Plante</x:v>
      </x:c>
      <x:c r="F341" s="23" t="str">
        <x:v>Ultra Rare</x:v>
      </x:c>
      <x:c r="G341" s="45" t="n">
        <x:v>75000</x:v>
      </x:c>
      <x:c r="H341" s="45" t="n">
        <x:f>IF(G341="","",ROUNDUP(G341*3,0))</x:f>
        <x:v>225000</x:v>
      </x:c>
      <x:c r="I341" s="41" t="n">
        <x:v>1</x:v>
      </x:c>
      <x:c r="J341" s="42" t="n">
        <x:v>86</x:v>
      </x:c>
      <x:c r="K341" s="42" t="n">
        <x:v>81</x:v>
      </x:c>
      <x:c r="L341" s="42" t="n">
        <x:v>97</x:v>
      </x:c>
      <x:c r="M341" s="42" t="n">
        <x:v>81</x:v>
      </x:c>
      <x:c r="N341" s="42" t="n">
        <x:v>107</x:v>
      </x:c>
      <x:c r="O341" s="42" t="n">
        <x:v>43</x:v>
      </x:c>
      <x:c r="P341" s="43" t="n">
        <x:f>IF(COUNT(J341:O341)=0,"",SUM(J341:O341))</x:f>
        <x:v>495</x:v>
      </x:c>
      <x:c r="Q341" s="23" t="str">
        <x:v>1 lignes de spawn</x:v>
      </x:c>
      <x:c r="R341" s="23" t="str">
        <x:v>Vacilys parcourt les fonds marins à la recherche de nourriture. Ce Pokémon étend librement son cou semblable à un tronc et capture les proies imprudentes avec ses huit tentacules.</x:v>
      </x:c>
      <x:c r="S341" s="23" t="str"/>
      <x:c r="T341" s="23" t="str">
        <x:v>https://pixelmonmod.com/wiki/Cradily</x:v>
      </x:c>
    </x:row>
    <x:row r="342" ht="54" customHeight="1">
      <x:c r="A342" s="27" t="n">
        <x:v>347</x:v>
      </x:c>
      <x:c r="B342" s="23" t="str">
        <x:v>Anorith</x:v>
      </x:c>
      <x:c r="C342" s="23" t="str">
        <x:v>Anorith</x:v>
      </x:c>
      <x:c r="D342" s="23" t="str">
        <x:v>Roche</x:v>
      </x:c>
      <x:c r="E342" s="23" t="str">
        <x:v>Insecte</x:v>
      </x:c>
      <x:c r="F342" s="23" t="str">
        <x:v>Rare</x:v>
      </x:c>
      <x:c r="G342" s="45" t="n">
        <x:v>12000</x:v>
      </x:c>
      <x:c r="H342" s="45" t="n">
        <x:f>IF(G342="","",ROUNDUP(G342*3,0))</x:f>
        <x:v>36000</x:v>
      </x:c>
      <x:c r="I342" s="41" t="n">
        <x:v>1</x:v>
      </x:c>
      <x:c r="J342" s="42" t="n">
        <x:v>45</x:v>
      </x:c>
      <x:c r="K342" s="42" t="n">
        <x:v>95</x:v>
      </x:c>
      <x:c r="L342" s="42" t="n">
        <x:v>50</x:v>
      </x:c>
      <x:c r="M342" s="42" t="n">
        <x:v>40</x:v>
      </x:c>
      <x:c r="N342" s="42" t="n">
        <x:v>50</x:v>
      </x:c>
      <x:c r="O342" s="42" t="n">
        <x:v>75</x:v>
      </x:c>
      <x:c r="P342" s="43" t="n">
        <x:f>IF(COUNT(J342:O342)=0,"",SUM(J342:O342))</x:f>
        <x:v>355</x:v>
      </x:c>
      <x:c r="Q342" s="23" t="str">
        <x:v>1 lignes de spawn</x:v>
      </x:c>
      <x:c r="R342" s="23" t="str">
        <x:v>Anorith a été ressuscité à partir d'un fossile préhistorique. Ce Pokémon primitif vivait autrefois dans des mers chaudes. Il saisit fermement ses proies entre ses deux grandes pinces.</x:v>
      </x:c>
      <x:c r="S342" s="23" t="str"/>
      <x:c r="T342" s="23" t="str">
        <x:v>https://pixelmonmod.com/wiki/Anorith</x:v>
      </x:c>
    </x:row>
    <x:row r="343" ht="54" customHeight="1">
      <x:c r="A343" s="27" t="n">
        <x:v>348</x:v>
      </x:c>
      <x:c r="B343" s="23" t="str">
        <x:v>Armaldo</x:v>
      </x:c>
      <x:c r="C343" s="23" t="str">
        <x:v>Armaldo</x:v>
      </x:c>
      <x:c r="D343" s="23" t="str">
        <x:v>Roche</x:v>
      </x:c>
      <x:c r="E343" s="23" t="str">
        <x:v>Insecte</x:v>
      </x:c>
      <x:c r="F343" s="23" t="str">
        <x:v>Ultra Rare</x:v>
      </x:c>
      <x:c r="G343" s="45" t="n">
        <x:v>75000</x:v>
      </x:c>
      <x:c r="H343" s="45" t="n">
        <x:f>IF(G343="","",ROUNDUP(G343*3,0))</x:f>
        <x:v>225000</x:v>
      </x:c>
      <x:c r="I343" s="41" t="n">
        <x:v>1</x:v>
      </x:c>
      <x:c r="J343" s="42" t="n">
        <x:v>75</x:v>
      </x:c>
      <x:c r="K343" s="42" t="n">
        <x:v>125</x:v>
      </x:c>
      <x:c r="L343" s="42" t="n">
        <x:v>100</x:v>
      </x:c>
      <x:c r="M343" s="42" t="n">
        <x:v>70</x:v>
      </x:c>
      <x:c r="N343" s="42" t="n">
        <x:v>80</x:v>
      </x:c>
      <x:c r="O343" s="42" t="n">
        <x:v>45</x:v>
      </x:c>
      <x:c r="P343" s="43" t="n">
        <x:f>IF(COUNT(J343:O343)=0,"",SUM(J343:O343))</x:f>
        <x:v>495</x:v>
      </x:c>
      <x:c r="Q343" s="23" t="str">
        <x:v>1 lignes de spawn</x:v>
      </x:c>
      <x:c r="R343" s="23" t="str">
        <x:v>La carapace solide d'Armaldo fait ricocher toutes les attaques. Ses deux énormes pinces peuvent se déployer ou se rétracter à volonté et ont la force de perforer une plaque d'acier.</x:v>
      </x:c>
      <x:c r="S343" s="23" t="str"/>
      <x:c r="T343" s="23" t="str">
        <x:v>https://pixelmonmod.com/wiki/Armaldo</x:v>
      </x:c>
    </x:row>
    <x:row r="344" ht="54" customHeight="1">
      <x:c r="A344" s="27" t="n">
        <x:v>349</x:v>
      </x:c>
      <x:c r="B344" s="23" t="str">
        <x:v>Barpau</x:v>
      </x:c>
      <x:c r="C344" s="23" t="str">
        <x:v>Feebas</x:v>
      </x:c>
      <x:c r="D344" s="23" t="str">
        <x:v>Eau</x:v>
      </x:c>
      <x:c r="E344" s="23" t="str"/>
      <x:c r="F344" s="23" t="str">
        <x:v>Ultra Rare</x:v>
      </x:c>
      <x:c r="G344" s="45" t="n">
        <x:v>75000</x:v>
      </x:c>
      <x:c r="H344" s="45" t="n">
        <x:f>IF(G344="","",ROUNDUP(G344*3,0))</x:f>
        <x:v>225000</x:v>
      </x:c>
      <x:c r="I344" s="41" t="n">
        <x:v>0.615</x:v>
      </x:c>
      <x:c r="J344" s="42" t="n">
        <x:v>20</x:v>
      </x:c>
      <x:c r="K344" s="42" t="n">
        <x:v>15</x:v>
      </x:c>
      <x:c r="L344" s="42" t="n">
        <x:v>20</x:v>
      </x:c>
      <x:c r="M344" s="42" t="n">
        <x:v>10</x:v>
      </x:c>
      <x:c r="N344" s="42" t="n">
        <x:v>55</x:v>
      </x:c>
      <x:c r="O344" s="42" t="n">
        <x:v>80</x:v>
      </x:c>
      <x:c r="P344" s="43" t="n">
        <x:f>IF(COUNT(J344:O344)=0,"",SUM(J344:O344))</x:f>
        <x:v>200</x:v>
      </x:c>
      <x:c r="Q344" s="23" t="str">
        <x:v>13 lignes de spawn</x:v>
      </x:c>
      <x:c r="R344" s="23" t="str">
        <x:v>Les nageoires de Barpau sont abîmées dès sa naissance. À cause de son apparence miteuse, ce Pokémon est généralement ignoré. Il peut vivre aussi bien en mer que dans les rivières.</x:v>
      </x:c>
      <x:c r="S344" s="23" t="str"/>
      <x:c r="T344" s="23" t="str">
        <x:v>https://pixelmonmod.com/wiki/Feebas</x:v>
      </x:c>
    </x:row>
    <x:row r="345" ht="54" customHeight="1">
      <x:c r="A345" s="27" t="n">
        <x:v>350</x:v>
      </x:c>
      <x:c r="B345" s="23" t="str">
        <x:v>Milobellus</x:v>
      </x:c>
      <x:c r="C345" s="23" t="str">
        <x:v>Milotic</x:v>
      </x:c>
      <x:c r="D345" s="23" t="str">
        <x:v>Eau</x:v>
      </x:c>
      <x:c r="E345" s="23" t="str"/>
      <x:c r="F345" s="23" t="str">
        <x:v>Ultra Rare</x:v>
      </x:c>
      <x:c r="G345" s="45" t="n">
        <x:v>75000</x:v>
      </x:c>
      <x:c r="H345" s="45" t="n">
        <x:f>IF(G345="","",ROUNDUP(G345*3,0))</x:f>
        <x:v>225000</x:v>
      </x:c>
      <x:c r="I345" s="41" t="n">
        <x:v>1</x:v>
      </x:c>
      <x:c r="J345" s="42" t="n">
        <x:v>95</x:v>
      </x:c>
      <x:c r="K345" s="42" t="n">
        <x:v>60</x:v>
      </x:c>
      <x:c r="L345" s="42" t="n">
        <x:v>79</x:v>
      </x:c>
      <x:c r="M345" s="42" t="n">
        <x:v>100</x:v>
      </x:c>
      <x:c r="N345" s="42" t="n">
        <x:v>125</x:v>
      </x:c>
      <x:c r="O345" s="42" t="n">
        <x:v>81</x:v>
      </x:c>
      <x:c r="P345" s="43" t="n">
        <x:f>IF(COUNT(J345:O345)=0,"",SUM(J345:O345))</x:f>
        <x:v>540</x:v>
      </x:c>
      <x:c r="Q345" s="23" t="str">
        <x:v>11 lignes de spawn</x:v>
      </x:c>
      <x:c r="R345" s="23" t="str">
        <x:v>Milobellus est considéré comme le plus beau de tous les Pokémon. Il possède le pouvoir d'apaiser des émotions comme la colère et l'hostilité afin d'éteindre les conflits.</x:v>
      </x:c>
      <x:c r="S345" s="23" t="str"/>
      <x:c r="T345" s="23" t="str">
        <x:v>https://pixelmonmod.com/wiki/Milotic</x:v>
      </x:c>
    </x:row>
    <x:row r="346" ht="54" customHeight="1">
      <x:c r="A346" s="27" t="n">
        <x:v>351</x:v>
      </x:c>
      <x:c r="B346" s="23" t="str">
        <x:v>Morphéo</x:v>
      </x:c>
      <x:c r="C346" s="23" t="str">
        <x:v>Castform</x:v>
      </x:c>
      <x:c r="D346" s="23" t="str">
        <x:v>Normal</x:v>
      </x:c>
      <x:c r="E346" s="23" t="str"/>
      <x:c r="F346" s="23" t="str">
        <x:v>Ultra Rare</x:v>
      </x:c>
      <x:c r="G346" s="45" t="n">
        <x:v>75000</x:v>
      </x:c>
      <x:c r="H346" s="45" t="n">
        <x:f>IF(G346="","",ROUNDUP(G346*3,0))</x:f>
        <x:v>225000</x:v>
      </x:c>
      <x:c r="I346" s="41" t="n">
        <x:v>1</x:v>
      </x:c>
      <x:c r="J346" s="42" t="n">
        <x:v>70</x:v>
      </x:c>
      <x:c r="K346" s="42" t="n">
        <x:v>70</x:v>
      </x:c>
      <x:c r="L346" s="42" t="n">
        <x:v>70</x:v>
      </x:c>
      <x:c r="M346" s="42" t="n">
        <x:v>70</x:v>
      </x:c>
      <x:c r="N346" s="42" t="n">
        <x:v>70</x:v>
      </x:c>
      <x:c r="O346" s="42" t="n">
        <x:v>70</x:v>
      </x:c>
      <x:c r="P346" s="43" t="n">
        <x:f>IF(COUNT(J346:O346)=0,"",SUM(J346:O346))</x:f>
        <x:v>420</x:v>
      </x:c>
      <x:c r="Q346" s="23" t="str">
        <x:v>3 lignes de spawn</x:v>
      </x:c>
      <x:c r="R346" s="23" t="str">
        <x:v>L'apparence de Morphéo change selon la météo. Ce Pokémon a acquis la capacité d'utiliser la puissance de la nature pour protéger son minuscule corps.</x:v>
      </x:c>
      <x:c r="S346" s="23" t="str"/>
      <x:c r="T346" s="23" t="str">
        <x:v>https://pixelmonmod.com/wiki/Castform</x:v>
      </x:c>
    </x:row>
    <x:row r="347" ht="54" customHeight="1">
      <x:c r="A347" s="27" t="n">
        <x:v>352</x:v>
      </x:c>
      <x:c r="B347" s="23" t="str">
        <x:v>Kecleon</x:v>
      </x:c>
      <x:c r="C347" s="23" t="str">
        <x:v>Kecleon</x:v>
      </x:c>
      <x:c r="D347" s="23" t="str">
        <x:v>Normal</x:v>
      </x:c>
      <x:c r="E347" s="23" t="str"/>
      <x:c r="F347" s="23" t="str">
        <x:v>Rare</x:v>
      </x:c>
      <x:c r="G347" s="45" t="n">
        <x:v>12000</x:v>
      </x:c>
      <x:c r="H347" s="45" t="n">
        <x:f>IF(G347="","",ROUNDUP(G347*3,0))</x:f>
        <x:v>36000</x:v>
      </x:c>
      <x:c r="I347" s="41" t="n">
        <x:v>0.667</x:v>
      </x:c>
      <x:c r="J347" s="42" t="n">
        <x:v>60</x:v>
      </x:c>
      <x:c r="K347" s="42" t="n">
        <x:v>90</x:v>
      </x:c>
      <x:c r="L347" s="42" t="n">
        <x:v>70</x:v>
      </x:c>
      <x:c r="M347" s="42" t="n">
        <x:v>60</x:v>
      </x:c>
      <x:c r="N347" s="42" t="n">
        <x:v>120</x:v>
      </x:c>
      <x:c r="O347" s="42" t="n">
        <x:v>40</x:v>
      </x:c>
      <x:c r="P347" s="43" t="n">
        <x:f>IF(COUNT(J347:O347)=0,"",SUM(J347:O347))</x:f>
        <x:v>440</x:v>
      </x:c>
      <x:c r="Q347" s="23" t="str">
        <x:v>3 lignes de spawn</x:v>
      </x:c>
      <x:c r="R347" s="23" t="str">
        <x:v>Kecleon peut changer la couleur de son corps à volonté pour se fondre dans le décor. Toutefois, il lui est impossible de modifier le motif en zigzag sur son ventre.</x:v>
      </x:c>
      <x:c r="S347" s="23" t="str"/>
      <x:c r="T347" s="23" t="str">
        <x:v>https://pixelmonmod.com/wiki/Kecleon</x:v>
      </x:c>
    </x:row>
    <x:row r="348" ht="54" customHeight="1">
      <x:c r="A348" s="27" t="n">
        <x:v>353</x:v>
      </x:c>
      <x:c r="B348" s="23" t="str">
        <x:v>Polichombr</x:v>
      </x:c>
      <x:c r="C348" s="23" t="str">
        <x:v>Shuppet</x:v>
      </x:c>
      <x:c r="D348" s="23" t="str">
        <x:v>Spectre</x:v>
      </x:c>
      <x:c r="E348" s="23" t="str"/>
      <x:c r="F348" s="23" t="str">
        <x:v>Uncommon</x:v>
      </x:c>
      <x:c r="G348" s="45" t="n">
        <x:v>5000</x:v>
      </x:c>
      <x:c r="H348" s="45" t="n">
        <x:f>IF(G348="","",ROUNDUP(G348*3,0))</x:f>
        <x:v>15000</x:v>
      </x:c>
      <x:c r="I348" s="41" t="n">
        <x:v>1</x:v>
      </x:c>
      <x:c r="J348" s="42" t="n">
        <x:v>44</x:v>
      </x:c>
      <x:c r="K348" s="42" t="n">
        <x:v>75</x:v>
      </x:c>
      <x:c r="L348" s="42" t="n">
        <x:v>35</x:v>
      </x:c>
      <x:c r="M348" s="42" t="n">
        <x:v>63</x:v>
      </x:c>
      <x:c r="N348" s="42" t="n">
        <x:v>33</x:v>
      </x:c>
      <x:c r="O348" s="42" t="n">
        <x:v>45</x:v>
      </x:c>
      <x:c r="P348" s="43" t="n">
        <x:f>IF(COUNT(J348:O348)=0,"",SUM(J348:O348))</x:f>
        <x:v>295</x:v>
      </x:c>
      <x:c r="Q348" s="23" t="str">
        <x:v>1 lignes de spawn</x:v>
      </x:c>
      <x:c r="R348" s="23" t="str">
        <x:v>Polichombr est attiré par les sentiments de jalousie et de rancune. Si quelqu'un nourrit une forte envie de vengeance, ce Pokémon apparaît en nombre et se range sous les avant-toits de sa maison.</x:v>
      </x:c>
      <x:c r="S348" s="23" t="str"/>
      <x:c r="T348" s="23" t="str">
        <x:v>https://pixelmonmod.com/wiki/Shuppet</x:v>
      </x:c>
    </x:row>
    <x:row r="349" ht="54" customHeight="1">
      <x:c r="A349" s="27" t="n">
        <x:v>354</x:v>
      </x:c>
      <x:c r="B349" s="23" t="str">
        <x:v>Branette</x:v>
      </x:c>
      <x:c r="C349" s="23" t="str">
        <x:v>Banette</x:v>
      </x:c>
      <x:c r="D349" s="23" t="str">
        <x:v>Spectre</x:v>
      </x:c>
      <x:c r="E349" s="23" t="str"/>
      <x:c r="F349" s="23" t="str">
        <x:v>Ultra Rare</x:v>
      </x:c>
      <x:c r="G349" s="45" t="n">
        <x:v>75000</x:v>
      </x:c>
      <x:c r="H349" s="45" t="n">
        <x:f>IF(G349="","",ROUNDUP(G349*3,0))</x:f>
        <x:v>225000</x:v>
      </x:c>
      <x:c r="I349" s="41" t="n">
        <x:v>1</x:v>
      </x:c>
      <x:c r="J349" s="42" t="n">
        <x:v>64</x:v>
      </x:c>
      <x:c r="K349" s="42" t="n">
        <x:v>115</x:v>
      </x:c>
      <x:c r="L349" s="42" t="n">
        <x:v>65</x:v>
      </x:c>
      <x:c r="M349" s="42" t="n">
        <x:v>83</x:v>
      </x:c>
      <x:c r="N349" s="42" t="n">
        <x:v>63</x:v>
      </x:c>
      <x:c r="O349" s="42" t="n">
        <x:v>65</x:v>
      </x:c>
      <x:c r="P349" s="43" t="n">
        <x:f>IF(COUNT(J349:O349)=0,"",SUM(J349:O349))</x:f>
        <x:v>455</x:v>
      </x:c>
      <x:c r="Q349" s="23" t="str">
        <x:v>3 lignes de spawn</x:v>
      </x:c>
      <x:c r="R349" s="23" t="str">
        <x:v>Branette génère l'énergie nécessaire pour lancer de puissantes malédictions en plantant des aiguilles dans son propre corps. À l'origine, ce Pokémon n'était qu'une pauvre peluche abandonnée.</x:v>
      </x:c>
      <x:c r="S349" s="23" t="str"/>
      <x:c r="T349" s="23" t="str">
        <x:v>https://pixelmonmod.com/wiki/Banette</x:v>
      </x:c>
    </x:row>
    <x:row r="350" ht="54" customHeight="1">
      <x:c r="A350" s="27" t="n">
        <x:v>355</x:v>
      </x:c>
      <x:c r="B350" s="23" t="str">
        <x:v>Skelénox</x:v>
      </x:c>
      <x:c r="C350" s="23" t="str">
        <x:v>Duskull</x:v>
      </x:c>
      <x:c r="D350" s="23" t="str">
        <x:v>Spectre</x:v>
      </x:c>
      <x:c r="E350" s="23" t="str"/>
      <x:c r="F350" s="23" t="str">
        <x:v>Uncommon</x:v>
      </x:c>
      <x:c r="G350" s="45" t="n">
        <x:v>5000</x:v>
      </x:c>
      <x:c r="H350" s="45" t="n">
        <x:f>IF(G350="","",ROUNDUP(G350*3,0))</x:f>
        <x:v>15000</x:v>
      </x:c>
      <x:c r="I350" s="41" t="n">
        <x:v>1</x:v>
      </x:c>
      <x:c r="J350" s="42" t="n">
        <x:v>20</x:v>
      </x:c>
      <x:c r="K350" s="42" t="n">
        <x:v>40</x:v>
      </x:c>
      <x:c r="L350" s="42" t="n">
        <x:v>90</x:v>
      </x:c>
      <x:c r="M350" s="42" t="n">
        <x:v>30</x:v>
      </x:c>
      <x:c r="N350" s="42" t="n">
        <x:v>90</x:v>
      </x:c>
      <x:c r="O350" s="42" t="n">
        <x:v>25</x:v>
      </x:c>
      <x:c r="P350" s="43" t="n">
        <x:f>IF(COUNT(J350:O350)=0,"",SUM(J350:O350))</x:f>
        <x:v>295</x:v>
      </x:c>
      <x:c r="Q350" s="23" t="str">
        <x:v>4 lignes de spawn</x:v>
      </x:c>
      <x:c r="R350" s="23" t="str">
        <x:v>Skelénox peut traverser n'importe quel mur, quelle que soit son épaisseur. Une fois qu'il choisit une cible, il la poursuit sans relâche jusqu'à l'aube.</x:v>
      </x:c>
      <x:c r="S350" s="23" t="str"/>
      <x:c r="T350" s="23" t="str">
        <x:v>https://pixelmonmod.com/wiki/Duskull</x:v>
      </x:c>
    </x:row>
    <x:row r="351" ht="54" customHeight="1">
      <x:c r="A351" s="27" t="n">
        <x:v>356</x:v>
      </x:c>
      <x:c r="B351" s="23" t="str">
        <x:v>Téraclope</x:v>
      </x:c>
      <x:c r="C351" s="23" t="str">
        <x:v>Dusclops</x:v>
      </x:c>
      <x:c r="D351" s="23" t="str">
        <x:v>Spectre</x:v>
      </x:c>
      <x:c r="E351" s="23" t="str"/>
      <x:c r="F351" s="23" t="str">
        <x:v>Ultra Rare</x:v>
      </x:c>
      <x:c r="G351" s="45" t="n">
        <x:v>75000</x:v>
      </x:c>
      <x:c r="H351" s="45" t="n">
        <x:f>IF(G351="","",ROUNDUP(G351*3,0))</x:f>
        <x:v>225000</x:v>
      </x:c>
      <x:c r="I351" s="41" t="n">
        <x:v>1</x:v>
      </x:c>
      <x:c r="J351" s="42" t="n">
        <x:v>40</x:v>
      </x:c>
      <x:c r="K351" s="42" t="n">
        <x:v>70</x:v>
      </x:c>
      <x:c r="L351" s="42" t="n">
        <x:v>130</x:v>
      </x:c>
      <x:c r="M351" s="42" t="n">
        <x:v>60</x:v>
      </x:c>
      <x:c r="N351" s="42" t="n">
        <x:v>130</x:v>
      </x:c>
      <x:c r="O351" s="42" t="n">
        <x:v>25</x:v>
      </x:c>
      <x:c r="P351" s="43" t="n">
        <x:f>IF(COUNT(J351:O351)=0,"",SUM(J351:O351))</x:f>
        <x:v>455</x:v>
      </x:c>
      <x:c r="Q351" s="23" t="str">
        <x:v>6 lignes de spawn</x:v>
      </x:c>
      <x:c r="R351" s="23" t="str">
        <x:v>Le corps de Téraclope est complètement creux : il n'y a absolument rien à l'intérieur. On dit que son corps est comme un trou noir. Il absorbe tout, mais rien n'en ressort jamais.</x:v>
      </x:c>
      <x:c r="S351" s="23" t="str"/>
      <x:c r="T351" s="23" t="str">
        <x:v>https://pixelmonmod.com/wiki/Dusclops</x:v>
      </x:c>
    </x:row>
    <x:row r="352" ht="54" customHeight="1">
      <x:c r="A352" s="27" t="n">
        <x:v>357</x:v>
      </x:c>
      <x:c r="B352" s="23" t="str">
        <x:v>Tropius</x:v>
      </x:c>
      <x:c r="C352" s="23" t="str">
        <x:v>Tropius</x:v>
      </x:c>
      <x:c r="D352" s="23" t="str">
        <x:v>Plante</x:v>
      </x:c>
      <x:c r="E352" s="23" t="str">
        <x:v>Vol</x:v>
      </x:c>
      <x:c r="F352" s="23" t="str">
        <x:v>Rare</x:v>
      </x:c>
      <x:c r="G352" s="45" t="n">
        <x:v>12000</x:v>
      </x:c>
      <x:c r="H352" s="45" t="n">
        <x:f>IF(G352="","",ROUNDUP(G352*3,0))</x:f>
        <x:v>36000</x:v>
      </x:c>
      <x:c r="I352" s="41" t="n">
        <x:v>1</x:v>
      </x:c>
      <x:c r="J352" s="42" t="n">
        <x:v>99</x:v>
      </x:c>
      <x:c r="K352" s="42" t="n">
        <x:v>68</x:v>
      </x:c>
      <x:c r="L352" s="42" t="n">
        <x:v>83</x:v>
      </x:c>
      <x:c r="M352" s="42" t="n">
        <x:v>72</x:v>
      </x:c>
      <x:c r="N352" s="42" t="n">
        <x:v>87</x:v>
      </x:c>
      <x:c r="O352" s="42" t="n">
        <x:v>51</x:v>
      </x:c>
      <x:c r="P352" s="43" t="n">
        <x:f>IF(COUNT(J352:O352)=0,"",SUM(J352:O352))</x:f>
        <x:v>460</x:v>
      </x:c>
      <x:c r="Q352" s="23" t="str">
        <x:v>2 lignes de spawn</x:v>
      </x:c>
      <x:c r="R352" s="23" t="str">
        <x:v>Les régimes de fruits autour de son cou sont très appréciés des enfants. Ce Pokémon raffole des fruits et en mange constamment. Il semble que son amour pour les fruits soit à l'origine de sa propre production de fruits.</x:v>
      </x:c>
      <x:c r="S352" s="23" t="str"/>
      <x:c r="T352" s="23" t="str">
        <x:v>https://pixelmonmod.com/wiki/Tropius</x:v>
      </x:c>
    </x:row>
    <x:row r="353" ht="54" customHeight="1">
      <x:c r="A353" s="27" t="n">
        <x:v>358</x:v>
      </x:c>
      <x:c r="B353" s="23" t="str">
        <x:v>Éoko</x:v>
      </x:c>
      <x:c r="C353" s="23" t="str">
        <x:v>Chimecho</x:v>
      </x:c>
      <x:c r="D353" s="23" t="str">
        <x:v>Psy</x:v>
      </x:c>
      <x:c r="E353" s="23" t="str"/>
      <x:c r="F353" s="23" t="str">
        <x:v>Rare</x:v>
      </x:c>
      <x:c r="G353" s="45" t="n">
        <x:v>12000</x:v>
      </x:c>
      <x:c r="H353" s="45" t="n">
        <x:f>IF(G353="","",ROUNDUP(G353*3,0))</x:f>
        <x:v>36000</x:v>
      </x:c>
      <x:c r="I353" s="41" t="n">
        <x:v>1</x:v>
      </x:c>
      <x:c r="J353" s="42" t="n">
        <x:v>75</x:v>
      </x:c>
      <x:c r="K353" s="42" t="n">
        <x:v>50</x:v>
      </x:c>
      <x:c r="L353" s="42" t="n">
        <x:v>80</x:v>
      </x:c>
      <x:c r="M353" s="42" t="n">
        <x:v>95</x:v>
      </x:c>
      <x:c r="N353" s="42" t="n">
        <x:v>90</x:v>
      </x:c>
      <x:c r="O353" s="42" t="n">
        <x:v>65</x:v>
      </x:c>
      <x:c r="P353" s="43" t="n">
        <x:f>IF(COUNT(J353:O353)=0,"",SUM(J353:O353))</x:f>
        <x:v>455</x:v>
      </x:c>
      <x:c r="Q353" s="23" t="str">
        <x:v>1 lignes de spawn</x:v>
      </x:c>
      <x:c r="R353" s="23" t="str">
        <x:v>Éoko fait résonner ses cris dans son corps creux. Lorsqu'il s'énerve, ses cris se transforment en ultrasons capables de projeter ses ennemis au loin.</x:v>
      </x:c>
      <x:c r="S353" s="23" t="str"/>
      <x:c r="T353" s="23" t="str">
        <x:v>https://pixelmonmod.com/wiki/Chimecho</x:v>
      </x:c>
    </x:row>
    <x:row r="354" ht="54" customHeight="1">
      <x:c r="A354" s="27" t="n">
        <x:v>359</x:v>
      </x:c>
      <x:c r="B354" s="23" t="str">
        <x:v>Absol</x:v>
      </x:c>
      <x:c r="C354" s="23" t="str">
        <x:v>Absol</x:v>
      </x:c>
      <x:c r="D354" s="23" t="str">
        <x:v>Ténèbres</x:v>
      </x:c>
      <x:c r="E354" s="23" t="str"/>
      <x:c r="F354" s="23" t="str">
        <x:v>Uncommon</x:v>
      </x:c>
      <x:c r="G354" s="45" t="n">
        <x:v>5000</x:v>
      </x:c>
      <x:c r="H354" s="45" t="n">
        <x:f>IF(G354="","",ROUNDUP(G354*3,0))</x:f>
        <x:v>15000</x:v>
      </x:c>
      <x:c r="I354" s="41" t="n">
        <x:v>0.6</x:v>
      </x:c>
      <x:c r="J354" s="42" t="n">
        <x:v>65</x:v>
      </x:c>
      <x:c r="K354" s="42" t="n">
        <x:v>130</x:v>
      </x:c>
      <x:c r="L354" s="42" t="n">
        <x:v>60</x:v>
      </x:c>
      <x:c r="M354" s="42" t="n">
        <x:v>75</x:v>
      </x:c>
      <x:c r="N354" s="42" t="n">
        <x:v>60</x:v>
      </x:c>
      <x:c r="O354" s="42" t="n">
        <x:v>75</x:v>
      </x:c>
      <x:c r="P354" s="43" t="n">
        <x:f>IF(COUNT(J354:O354)=0,"",SUM(J354:O354))</x:f>
        <x:v>465</x:v>
      </x:c>
      <x:c r="Q354" s="23" t="str">
        <x:v>5 lignes de spawn</x:v>
      </x:c>
      <x:c r="R354" s="23" t="str">
        <x:v>Chaque apparition d'Absol est suivie d'un désastre tel qu'un tremblement de terre ou un raz-de-marée. C'est pourquoi on l'appelle le Pokémon Désastre.</x:v>
      </x:c>
      <x:c r="S354" s="23" t="str"/>
      <x:c r="T354" s="23" t="str">
        <x:v>https://pixelmonmod.com/wiki/Absol</x:v>
      </x:c>
    </x:row>
    <x:row r="355" ht="54" customHeight="1">
      <x:c r="A355" s="27" t="n">
        <x:v>360</x:v>
      </x:c>
      <x:c r="B355" s="23" t="str">
        <x:v>Okéoké</x:v>
      </x:c>
      <x:c r="C355" s="23" t="str">
        <x:v>Wynaut</x:v>
      </x:c>
      <x:c r="D355" s="23" t="str">
        <x:v>Psy</x:v>
      </x:c>
      <x:c r="E355" s="23" t="str"/>
      <x:c r="F355" s="23" t="str">
        <x:v>Ultra Rare</x:v>
      </x:c>
      <x:c r="G355" s="45" t="n">
        <x:v>75000</x:v>
      </x:c>
      <x:c r="H355" s="45" t="n">
        <x:f>IF(G355="","",ROUNDUP(G355*3,0))</x:f>
        <x:v>225000</x:v>
      </x:c>
      <x:c r="I355" s="41" t="n">
        <x:v>1</x:v>
      </x:c>
      <x:c r="J355" s="42" t="n">
        <x:v>95</x:v>
      </x:c>
      <x:c r="K355" s="42" t="n">
        <x:v>23</x:v>
      </x:c>
      <x:c r="L355" s="42" t="n">
        <x:v>48</x:v>
      </x:c>
      <x:c r="M355" s="42" t="n">
        <x:v>23</x:v>
      </x:c>
      <x:c r="N355" s="42" t="n">
        <x:v>48</x:v>
      </x:c>
      <x:c r="O355" s="42" t="n">
        <x:v>23</x:v>
      </x:c>
      <x:c r="P355" s="43" t="n">
        <x:f>IF(COUNT(J355:O355)=0,"",SUM(J355:O355))</x:f>
        <x:v>260</x:v>
      </x:c>
      <x:c r="Q355" s="23" t="str">
        <x:v>1 lignes de spawn</x:v>
      </x:c>
      <x:c r="R355" s="23" t="str">
        <x:v>On voit toujours Okéoké avec un large sourire. Regardez sa queue pour savoir s'il est en colère. Lorsqu'il l'est, il frappe le sol avec sa queue.</x:v>
      </x:c>
      <x:c r="S355" s="23" t="str"/>
      <x:c r="T355" s="23" t="str">
        <x:v>https://pixelmonmod.com/wiki/Wynaut</x:v>
      </x:c>
    </x:row>
    <x:row r="356" ht="54" customHeight="1">
      <x:c r="A356" s="27" t="n">
        <x:v>361</x:v>
      </x:c>
      <x:c r="B356" s="23" t="str">
        <x:v>Stalgamin</x:v>
      </x:c>
      <x:c r="C356" s="23" t="str">
        <x:v>Snorunt</x:v>
      </x:c>
      <x:c r="D356" s="23" t="str">
        <x:v>Glace</x:v>
      </x:c>
      <x:c r="E356" s="23" t="str"/>
      <x:c r="F356" s="23" t="str">
        <x:v>Uncommon</x:v>
      </x:c>
      <x:c r="G356" s="45" t="n">
        <x:v>5000</x:v>
      </x:c>
      <x:c r="H356" s="45" t="n">
        <x:f>IF(G356="","",ROUNDUP(G356*3,0))</x:f>
        <x:v>15000</x:v>
      </x:c>
      <x:c r="I356" s="41" t="n">
        <x:v>1</x:v>
      </x:c>
      <x:c r="J356" s="42" t="n">
        <x:v>50</x:v>
      </x:c>
      <x:c r="K356" s="42" t="n">
        <x:v>50</x:v>
      </x:c>
      <x:c r="L356" s="42" t="n">
        <x:v>50</x:v>
      </x:c>
      <x:c r="M356" s="42" t="n">
        <x:v>50</x:v>
      </x:c>
      <x:c r="N356" s="42" t="n">
        <x:v>50</x:v>
      </x:c>
      <x:c r="O356" s="42" t="n">
        <x:v>50</x:v>
      </x:c>
      <x:c r="P356" s="43" t="n">
        <x:f>IF(COUNT(J356:O356)=0,"",SUM(J356:O356))</x:f>
        <x:v>300</x:v>
      </x:c>
      <x:c r="Q356" s="23" t="str">
        <x:v>4 lignes de spawn</x:v>
      </x:c>
      <x:c r="R356" s="23" t="str">
        <x:v>Ils vivent dans les régions à fortes chutes de neige. En saisons plus chaudes, ils s'installent discrètement dans des grottes aux stalactites et stalagmites.</x:v>
      </x:c>
      <x:c r="S356" s="23" t="str"/>
      <x:c r="T356" s="23" t="str">
        <x:v>https://pixelmonmod.com/wiki/Snorunt</x:v>
      </x:c>
    </x:row>
    <x:row r="357" ht="54" customHeight="1">
      <x:c r="A357" s="27" t="n">
        <x:v>362</x:v>
      </x:c>
      <x:c r="B357" s="23" t="str">
        <x:v>Oniglali</x:v>
      </x:c>
      <x:c r="C357" s="23" t="str">
        <x:v>Glalie</x:v>
      </x:c>
      <x:c r="D357" s="23" t="str">
        <x:v>Glace</x:v>
      </x:c>
      <x:c r="E357" s="23" t="str"/>
      <x:c r="F357" s="23" t="str">
        <x:v>Ultra Rare</x:v>
      </x:c>
      <x:c r="G357" s="45" t="n">
        <x:v>75000</x:v>
      </x:c>
      <x:c r="H357" s="45" t="n">
        <x:f>IF(G357="","",ROUNDUP(G357*3,0))</x:f>
        <x:v>225000</x:v>
      </x:c>
      <x:c r="I357" s="41" t="n">
        <x:v>1</x:v>
      </x:c>
      <x:c r="J357" s="42" t="n">
        <x:v>80</x:v>
      </x:c>
      <x:c r="K357" s="42" t="n">
        <x:v>80</x:v>
      </x:c>
      <x:c r="L357" s="42" t="n">
        <x:v>80</x:v>
      </x:c>
      <x:c r="M357" s="42" t="n">
        <x:v>80</x:v>
      </x:c>
      <x:c r="N357" s="42" t="n">
        <x:v>80</x:v>
      </x:c>
      <x:c r="O357" s="42" t="n">
        <x:v>80</x:v>
      </x:c>
      <x:c r="P357" s="43" t="n">
        <x:f>IF(COUNT(J357:O357)=0,"",SUM(J357:O357))</x:f>
        <x:v>480</x:v>
      </x:c>
      <x:c r="Q357" s="23" t="str">
        <x:v>2 lignes de spawn</x:v>
      </x:c>
      <x:c r="R357" s="23" t="str">
        <x:v>Oniglali possède un corps fait de roche, qu'il durcit avec une armure de glace. Ce Pokémon peut geler l'humidité de l'air pour lui donner la forme qu'il souhaite.</x:v>
      </x:c>
      <x:c r="S357" s="23" t="str"/>
      <x:c r="T357" s="23" t="str">
        <x:v>https://pixelmonmod.com/wiki/Glalie</x:v>
      </x:c>
    </x:row>
    <x:row r="358" ht="54" customHeight="1">
      <x:c r="A358" s="27" t="n">
        <x:v>363</x:v>
      </x:c>
      <x:c r="B358" s="23" t="str">
        <x:v>Obalie</x:v>
      </x:c>
      <x:c r="C358" s="23" t="str">
        <x:v>Spheal</x:v>
      </x:c>
      <x:c r="D358" s="23" t="str">
        <x:v>Glace</x:v>
      </x:c>
      <x:c r="E358" s="23" t="str">
        <x:v>Eau</x:v>
      </x:c>
      <x:c r="F358" s="23" t="str">
        <x:v>Common</x:v>
      </x:c>
      <x:c r="G358" s="45" t="n">
        <x:v>2000</x:v>
      </x:c>
      <x:c r="H358" s="45" t="n">
        <x:f>IF(G358="","",ROUNDUP(G358*3,0))</x:f>
        <x:v>6000</x:v>
      </x:c>
      <x:c r="I358" s="41" t="n">
        <x:v>0.8</x:v>
      </x:c>
      <x:c r="J358" s="42" t="n">
        <x:v>70</x:v>
      </x:c>
      <x:c r="K358" s="42" t="n">
        <x:v>40</x:v>
      </x:c>
      <x:c r="L358" s="42" t="n">
        <x:v>50</x:v>
      </x:c>
      <x:c r="M358" s="42" t="n">
        <x:v>55</x:v>
      </x:c>
      <x:c r="N358" s="42" t="n">
        <x:v>50</x:v>
      </x:c>
      <x:c r="O358" s="42" t="n">
        <x:v>25</x:v>
      </x:c>
      <x:c r="P358" s="43" t="n">
        <x:f>IF(COUNT(J358:O358)=0,"",SUM(J358:O358))</x:f>
        <x:v>290</x:v>
      </x:c>
      <x:c r="Q358" s="23" t="str">
        <x:v>10 lignes de spawn</x:v>
      </x:c>
      <x:c r="R358" s="23" t="str">
        <x:v>Obalie se déplace bien plus vite en roulant qu'en marchant. Lorsque des groupes de ce Pokémon mangent, ils applaudissent tous en même temps pour montrer leur joie. À cause de cela, leurs repas sont bruyants.</x:v>
      </x:c>
      <x:c r="S358" s="23" t="str"/>
      <x:c r="T358" s="23" t="str">
        <x:v>https://pixelmonmod.com/wiki/Spheal</x:v>
      </x:c>
    </x:row>
    <x:row r="359" ht="54" customHeight="1">
      <x:c r="A359" s="27" t="n">
        <x:v>364</x:v>
      </x:c>
      <x:c r="B359" s="23" t="str">
        <x:v>Phogleur</x:v>
      </x:c>
      <x:c r="C359" s="23" t="str">
        <x:v>Sealeo</x:v>
      </x:c>
      <x:c r="D359" s="23" t="str">
        <x:v>Glace</x:v>
      </x:c>
      <x:c r="E359" s="23" t="str">
        <x:v>Eau</x:v>
      </x:c>
      <x:c r="F359" s="23" t="str">
        <x:v>Rare</x:v>
      </x:c>
      <x:c r="G359" s="45" t="n">
        <x:v>12000</x:v>
      </x:c>
      <x:c r="H359" s="45" t="n">
        <x:f>IF(G359="","",ROUNDUP(G359*3,0))</x:f>
        <x:v>36000</x:v>
      </x:c>
      <x:c r="I359" s="41" t="n">
        <x:v>0.9</x:v>
      </x:c>
      <x:c r="J359" s="42" t="n">
        <x:v>90</x:v>
      </x:c>
      <x:c r="K359" s="42" t="n">
        <x:v>60</x:v>
      </x:c>
      <x:c r="L359" s="42" t="n">
        <x:v>70</x:v>
      </x:c>
      <x:c r="M359" s="42" t="n">
        <x:v>75</x:v>
      </x:c>
      <x:c r="N359" s="42" t="n">
        <x:v>70</x:v>
      </x:c>
      <x:c r="O359" s="42" t="n">
        <x:v>45</x:v>
      </x:c>
      <x:c r="P359" s="43" t="n">
        <x:f>IF(COUNT(J359:O359)=0,"",SUM(J359:O359))</x:f>
        <x:v>410</x:v>
      </x:c>
      <x:c r="Q359" s="23" t="str">
        <x:v>10 lignes de spawn</x:v>
      </x:c>
      <x:c r="R359" s="23" t="str">
        <x:v>Phogleur a pour habitude de jongler sur le bout de son nez avec tout ce qu'il découvre. Il s'amuse parfois à faire rouler un Obalie en équilibre sur son museau.</x:v>
      </x:c>
      <x:c r="S359" s="23" t="str"/>
      <x:c r="T359" s="23" t="str">
        <x:v>https://pixelmonmod.com/wiki/Sealeo</x:v>
      </x:c>
    </x:row>
    <x:row r="360" ht="54" customHeight="1">
      <x:c r="A360" s="27" t="n">
        <x:v>365</x:v>
      </x:c>
      <x:c r="B360" s="23" t="str">
        <x:v>Kaorine</x:v>
      </x:c>
      <x:c r="C360" s="23" t="str">
        <x:v>Walrein</x:v>
      </x:c>
      <x:c r="D360" s="23" t="str">
        <x:v>Glace</x:v>
      </x:c>
      <x:c r="E360" s="23" t="str">
        <x:v>Eau</x:v>
      </x:c>
      <x:c r="F360" s="23" t="str">
        <x:v>Ultra Rare</x:v>
      </x:c>
      <x:c r="G360" s="45" t="n">
        <x:v>75000</x:v>
      </x:c>
      <x:c r="H360" s="45" t="n">
        <x:f>IF(G360="","",ROUNDUP(G360*3,0))</x:f>
        <x:v>225000</x:v>
      </x:c>
      <x:c r="I360" s="41" t="n">
        <x:v>1</x:v>
      </x:c>
      <x:c r="J360" s="42" t="n">
        <x:v>110</x:v>
      </x:c>
      <x:c r="K360" s="42" t="n">
        <x:v>80</x:v>
      </x:c>
      <x:c r="L360" s="42" t="n">
        <x:v>90</x:v>
      </x:c>
      <x:c r="M360" s="42" t="n">
        <x:v>95</x:v>
      </x:c>
      <x:c r="N360" s="42" t="n">
        <x:v>90</x:v>
      </x:c>
      <x:c r="O360" s="42" t="n">
        <x:v>65</x:v>
      </x:c>
      <x:c r="P360" s="43" t="n">
        <x:f>IF(COUNT(J360:O360)=0,"",SUM(J360:O360))</x:f>
        <x:v>530</x:v>
      </x:c>
      <x:c r="Q360" s="23" t="str">
        <x:v>9 lignes de spawn</x:v>
      </x:c>
      <x:c r="R360" s="23" t="str">
        <x:v>Les deux défenses massives de Kaorine peuvent réduire en miettes des blocs de glace de dix tonnes d'un seul coup. L'épaisse couche de graisse qui le recouvre l'isole des températures glaciales.</x:v>
      </x:c>
      <x:c r="S360" s="23" t="str"/>
      <x:c r="T360" s="23" t="str">
        <x:v>https://pixelmonmod.com/wiki/Walrein</x:v>
      </x:c>
    </x:row>
    <x:row r="361" ht="54" customHeight="1">
      <x:c r="A361" s="27" t="n">
        <x:v>366</x:v>
      </x:c>
      <x:c r="B361" s="23" t="str">
        <x:v>Coquiperl</x:v>
      </x:c>
      <x:c r="C361" s="23" t="str">
        <x:v>Clamperl</x:v>
      </x:c>
      <x:c r="D361" s="23" t="str">
        <x:v>Eau</x:v>
      </x:c>
      <x:c r="E361" s="23" t="str"/>
      <x:c r="F361" s="23" t="str">
        <x:v>Uncommon</x:v>
      </x:c>
      <x:c r="G361" s="45" t="n">
        <x:v>5000</x:v>
      </x:c>
      <x:c r="H361" s="45" t="n">
        <x:f>IF(G361="","",ROUNDUP(G361*3,0))</x:f>
        <x:v>15000</x:v>
      </x:c>
      <x:c r="I361" s="41" t="n">
        <x:v>0.667</x:v>
      </x:c>
      <x:c r="J361" s="42" t="n">
        <x:v>35</x:v>
      </x:c>
      <x:c r="K361" s="42" t="n">
        <x:v>64</x:v>
      </x:c>
      <x:c r="L361" s="42" t="n">
        <x:v>85</x:v>
      </x:c>
      <x:c r="M361" s="42" t="n">
        <x:v>74</x:v>
      </x:c>
      <x:c r="N361" s="42" t="n">
        <x:v>55</x:v>
      </x:c>
      <x:c r="O361" s="42" t="n">
        <x:v>32</x:v>
      </x:c>
      <x:c r="P361" s="43" t="n">
        <x:f>IF(COUNT(J361:O361)=0,"",SUM(J361:O361))</x:f>
        <x:v>345</x:v>
      </x:c>
      <x:c r="Q361" s="23" t="str">
        <x:v>6 lignes de spawn</x:v>
      </x:c>
      <x:c r="R361" s="23" t="str">
        <x:v>La coquille robuste de Coquiperl n'est pas seulement défensive : elle sert aussi à emprisonner et capturer ses proies. Une fois adulte, la coquille de Coquiperl est couverte d'entailles et de rayures.</x:v>
      </x:c>
      <x:c r="S361" s="23" t="str"/>
      <x:c r="T361" s="23" t="str">
        <x:v>https://pixelmonmod.com/wiki/Clamperl</x:v>
      </x:c>
    </x:row>
    <x:row r="362" ht="54" customHeight="1">
      <x:c r="A362" s="27" t="n">
        <x:v>367</x:v>
      </x:c>
      <x:c r="B362" s="23" t="str">
        <x:v>Serpang</x:v>
      </x:c>
      <x:c r="C362" s="23" t="str">
        <x:v>Huntail</x:v>
      </x:c>
      <x:c r="D362" s="23" t="str">
        <x:v>Eau</x:v>
      </x:c>
      <x:c r="E362" s="23" t="str"/>
      <x:c r="F362" s="23" t="str">
        <x:v>Ultra Rare</x:v>
      </x:c>
      <x:c r="G362" s="45" t="n">
        <x:v>75000</x:v>
      </x:c>
      <x:c r="H362" s="45" t="n">
        <x:f>IF(G362="","",ROUNDUP(G362*3,0))</x:f>
        <x:v>225000</x:v>
      </x:c>
      <x:c r="I362" s="41" t="n">
        <x:v>1</x:v>
      </x:c>
      <x:c r="J362" s="42" t="n">
        <x:v>55</x:v>
      </x:c>
      <x:c r="K362" s="42" t="n">
        <x:v>104</x:v>
      </x:c>
      <x:c r="L362" s="42" t="n">
        <x:v>105</x:v>
      </x:c>
      <x:c r="M362" s="42" t="n">
        <x:v>94</x:v>
      </x:c>
      <x:c r="N362" s="42" t="n">
        <x:v>75</x:v>
      </x:c>
      <x:c r="O362" s="42" t="n">
        <x:v>52</x:v>
      </x:c>
      <x:c r="P362" s="43" t="n">
        <x:f>IF(COUNT(J362:O362)=0,"",SUM(J362:O362))</x:f>
        <x:v>485</x:v>
      </x:c>
      <x:c r="Q362" s="23" t="str">
        <x:v>10 lignes de spawn</x:v>
      </x:c>
      <x:c r="R362" s="23" t="str">
        <x:v>La présence de Serpang est restée longtemps ignorée car il vit dans les profondeurs extrêmes des océans. Ses yeux voient parfaitement dans l'obscurité la plus sombre.</x:v>
      </x:c>
      <x:c r="S362" s="23" t="str"/>
      <x:c r="T362" s="23" t="str">
        <x:v>https://pixelmonmod.com/wiki/Huntail</x:v>
      </x:c>
    </x:row>
    <x:row r="363" ht="54" customHeight="1">
      <x:c r="A363" s="27" t="n">
        <x:v>368</x:v>
      </x:c>
      <x:c r="B363" s="23" t="str">
        <x:v>Rosabyss</x:v>
      </x:c>
      <x:c r="C363" s="23" t="str">
        <x:v>Gorebyss</x:v>
      </x:c>
      <x:c r="D363" s="23" t="str">
        <x:v>Eau</x:v>
      </x:c>
      <x:c r="E363" s="23" t="str"/>
      <x:c r="F363" s="23" t="str">
        <x:v>Ultra Rare</x:v>
      </x:c>
      <x:c r="G363" s="45" t="n">
        <x:v>75000</x:v>
      </x:c>
      <x:c r="H363" s="45" t="n">
        <x:f>IF(G363="","",ROUNDUP(G363*3,0))</x:f>
        <x:v>225000</x:v>
      </x:c>
      <x:c r="I363" s="41" t="n">
        <x:v>1</x:v>
      </x:c>
      <x:c r="J363" s="42" t="n">
        <x:v>55</x:v>
      </x:c>
      <x:c r="K363" s="42" t="n">
        <x:v>84</x:v>
      </x:c>
      <x:c r="L363" s="42" t="n">
        <x:v>105</x:v>
      </x:c>
      <x:c r="M363" s="42" t="n">
        <x:v>114</x:v>
      </x:c>
      <x:c r="N363" s="42" t="n">
        <x:v>75</x:v>
      </x:c>
      <x:c r="O363" s="42" t="n">
        <x:v>52</x:v>
      </x:c>
      <x:c r="P363" s="43" t="n">
        <x:f>IF(COUNT(J363:O363)=0,"",SUM(J363:O363))</x:f>
        <x:v>485</x:v>
      </x:c>
      <x:c r="Q363" s="23" t="str">
        <x:v>11 lignes de spawn</x:v>
      </x:c>
      <x:c r="R363" s="23" t="str">
        <x:v>Rosabyss vit dans les mers du sud à des profondeurs extrêmes. Son corps est fait pour résister à l'énorme pression de l'eau. Ainsi, le corps de ce Pokémon n'est pas affecté par les attaques ordinaires.</x:v>
      </x:c>
      <x:c r="S363" s="23" t="str"/>
      <x:c r="T363" s="23" t="str">
        <x:v>https://pixelmonmod.com/wiki/Gorebyss</x:v>
      </x:c>
    </x:row>
    <x:row r="364" ht="54" customHeight="1">
      <x:c r="A364" s="27" t="n">
        <x:v>369</x:v>
      </x:c>
      <x:c r="B364" s="23" t="str">
        <x:v>Relicanth</x:v>
      </x:c>
      <x:c r="C364" s="23" t="str">
        <x:v>Relicanth</x:v>
      </x:c>
      <x:c r="D364" s="23" t="str">
        <x:v>Eau</x:v>
      </x:c>
      <x:c r="E364" s="23" t="str">
        <x:v>Roche</x:v>
      </x:c>
      <x:c r="F364" s="23" t="str">
        <x:v>Very Rare</x:v>
      </x:c>
      <x:c r="G364" s="45" t="n">
        <x:v>30000</x:v>
      </x:c>
      <x:c r="H364" s="45" t="n">
        <x:f>IF(G364="","",ROUNDUP(G364*3,0))</x:f>
        <x:v>90000</x:v>
      </x:c>
      <x:c r="I364" s="41" t="n">
        <x:v>0.545</x:v>
      </x:c>
      <x:c r="J364" s="42" t="n">
        <x:v>100</x:v>
      </x:c>
      <x:c r="K364" s="42" t="n">
        <x:v>90</x:v>
      </x:c>
      <x:c r="L364" s="42" t="n">
        <x:v>130</x:v>
      </x:c>
      <x:c r="M364" s="42" t="n">
        <x:v>45</x:v>
      </x:c>
      <x:c r="N364" s="42" t="n">
        <x:v>65</x:v>
      </x:c>
      <x:c r="O364" s="42" t="n">
        <x:v>55</x:v>
      </x:c>
      <x:c r="P364" s="43" t="n">
        <x:f>IF(COUNT(J364:O364)=0,"",SUM(J364:O364))</x:f>
        <x:v>485</x:v>
      </x:c>
      <x:c r="Q364" s="23" t="str">
        <x:v>11 lignes de spawn</x:v>
      </x:c>
      <x:c r="R364" s="23" t="str">
        <x:v>Relicanth est une espèce de Pokémon qui existe depuis cent millions d'années sans jamais avoir changé de forme. Cet ancien Pokémon se nourrit d'organismes microscopiques grâce à sa bouche dépourvue de dents.</x:v>
      </x:c>
      <x:c r="S364" s="23" t="str">
        <x:v>Very Rare aligné sur le palier Super Rare (provisoire).</x:v>
      </x:c>
      <x:c r="T364" s="23" t="str">
        <x:v>https://pixelmonmod.com/wiki/Relicanth</x:v>
      </x:c>
    </x:row>
    <x:row r="365" ht="54" customHeight="1">
      <x:c r="A365" s="27" t="n">
        <x:v>370</x:v>
      </x:c>
      <x:c r="B365" s="23" t="str">
        <x:v>Lovdisc</x:v>
      </x:c>
      <x:c r="C365" s="23" t="str">
        <x:v>Luvdisc</x:v>
      </x:c>
      <x:c r="D365" s="23" t="str">
        <x:v>Eau</x:v>
      </x:c>
      <x:c r="E365" s="23" t="str"/>
      <x:c r="F365" s="23" t="str">
        <x:v>Uncommon</x:v>
      </x:c>
      <x:c r="G365" s="45" t="n">
        <x:v>5000</x:v>
      </x:c>
      <x:c r="H365" s="45" t="n">
        <x:f>IF(G365="","",ROUNDUP(G365*3,0))</x:f>
        <x:v>15000</x:v>
      </x:c>
      <x:c r="I365" s="41" t="n">
        <x:v>1</x:v>
      </x:c>
      <x:c r="J365" s="42" t="n">
        <x:v>43</x:v>
      </x:c>
      <x:c r="K365" s="42" t="n">
        <x:v>30</x:v>
      </x:c>
      <x:c r="L365" s="42" t="n">
        <x:v>55</x:v>
      </x:c>
      <x:c r="M365" s="42" t="n">
        <x:v>40</x:v>
      </x:c>
      <x:c r="N365" s="42" t="n">
        <x:v>65</x:v>
      </x:c>
      <x:c r="O365" s="42" t="n">
        <x:v>97</x:v>
      </x:c>
      <x:c r="P365" s="43" t="n">
        <x:f>IF(COUNT(J365:O365)=0,"",SUM(J365:O365))</x:f>
        <x:v>330</x:v>
      </x:c>
      <x:c r="Q365" s="23" t="str">
        <x:v>7 lignes de spawn</x:v>
      </x:c>
      <x:c r="R365" s="23" t="str">
        <x:v>Lovdisc vit dans les mers peu profondes des tropiques. Ce Pokémon en forme de cœur doit son nom à l'habitude qu'il a de suivre les couples amoureux nageant dans les vagues.</x:v>
      </x:c>
      <x:c r="S365" s="23" t="str"/>
      <x:c r="T365" s="23" t="str">
        <x:v>https://pixelmonmod.com/wiki/Luvdisc</x:v>
      </x:c>
    </x:row>
    <x:row r="366" ht="54" customHeight="1">
      <x:c r="A366" s="27" t="n">
        <x:v>371</x:v>
      </x:c>
      <x:c r="B366" s="23" t="str">
        <x:v>Draby</x:v>
      </x:c>
      <x:c r="C366" s="23" t="str">
        <x:v>Bagon</x:v>
      </x:c>
      <x:c r="D366" s="23" t="str">
        <x:v>Dragon</x:v>
      </x:c>
      <x:c r="E366" s="23" t="str"/>
      <x:c r="F366" s="23" t="str">
        <x:v>Rare</x:v>
      </x:c>
      <x:c r="G366" s="45" t="n">
        <x:v>12000</x:v>
      </x:c>
      <x:c r="H366" s="45" t="n">
        <x:f>IF(G366="","",ROUNDUP(G366*3,0))</x:f>
        <x:v>36000</x:v>
      </x:c>
      <x:c r="I366" s="41" t="n">
        <x:v>0.667</x:v>
      </x:c>
      <x:c r="J366" s="42" t="n">
        <x:v>45</x:v>
      </x:c>
      <x:c r="K366" s="42" t="n">
        <x:v>75</x:v>
      </x:c>
      <x:c r="L366" s="42" t="n">
        <x:v>60</x:v>
      </x:c>
      <x:c r="M366" s="42" t="n">
        <x:v>40</x:v>
      </x:c>
      <x:c r="N366" s="42" t="n">
        <x:v>30</x:v>
      </x:c>
      <x:c r="O366" s="42" t="n">
        <x:v>50</x:v>
      </x:c>
      <x:c r="P366" s="43" t="n">
        <x:f>IF(COUNT(J366:O366)=0,"",SUM(J366:O366))</x:f>
        <x:v>300</x:v>
      </x:c>
      <x:c r="Q366" s="23" t="str">
        <x:v>3 lignes de spawn</x:v>
      </x:c>
      <x:c r="R366" s="23" t="str">
        <x:v>Draby rêve un jour de pouvoir voler dans le ciel. Dans ses tentatives désespérées pour s'envoler, ce Pokémon se jette du haut de falaises. À force de chutes, sa tête est devenue dure comme de l'acier trempé.</x:v>
      </x:c>
      <x:c r="S366" s="23" t="str"/>
      <x:c r="T366" s="23" t="str">
        <x:v>https://pixelmonmod.com/wiki/Bagon</x:v>
      </x:c>
    </x:row>
    <x:row r="367" ht="54" customHeight="1">
      <x:c r="A367" s="27" t="n">
        <x:v>372</x:v>
      </x:c>
      <x:c r="B367" s="23" t="str">
        <x:v>Drackhaus</x:v>
      </x:c>
      <x:c r="C367" s="23" t="str">
        <x:v>Shelgon</x:v>
      </x:c>
      <x:c r="D367" s="23" t="str">
        <x:v>Dragon</x:v>
      </x:c>
      <x:c r="E367" s="23" t="str"/>
      <x:c r="F367" s="23" t="str">
        <x:v>Ultra Rare</x:v>
      </x:c>
      <x:c r="G367" s="45" t="n">
        <x:v>75000</x:v>
      </x:c>
      <x:c r="H367" s="45" t="n">
        <x:f>IF(G367="","",ROUNDUP(G367*3,0))</x:f>
        <x:v>225000</x:v>
      </x:c>
      <x:c r="I367" s="41" t="n">
        <x:v>1</x:v>
      </x:c>
      <x:c r="J367" s="42" t="n">
        <x:v>65</x:v>
      </x:c>
      <x:c r="K367" s="42" t="n">
        <x:v>95</x:v>
      </x:c>
      <x:c r="L367" s="42" t="n">
        <x:v>100</x:v>
      </x:c>
      <x:c r="M367" s="42" t="n">
        <x:v>60</x:v>
      </x:c>
      <x:c r="N367" s="42" t="n">
        <x:v>50</x:v>
      </x:c>
      <x:c r="O367" s="42" t="n">
        <x:v>50</x:v>
      </x:c>
      <x:c r="P367" s="43" t="n">
        <x:f>IF(COUNT(J367:O367)=0,"",SUM(J367:O367))</x:f>
        <x:v>420</x:v>
      </x:c>
      <x:c r="Q367" s="23" t="str">
        <x:v>3 lignes de spawn</x:v>
      </x:c>
      <x:c r="R367" s="23" t="str">
        <x:v>Sous la carapace de Drackhaus, ses cellules sont en pleine transformation pour constituer un nouveau corps. Sa carapace extrêmement lourde le rend cependant très peu mobile.</x:v>
      </x:c>
      <x:c r="S367" s="23" t="str"/>
      <x:c r="T367" s="23" t="str">
        <x:v>https://pixelmonmod.com/wiki/Shelgon</x:v>
      </x:c>
    </x:row>
    <x:row r="368" ht="54" customHeight="1">
      <x:c r="A368" s="27" t="n">
        <x:v>373</x:v>
      </x:c>
      <x:c r="B368" s="23" t="str">
        <x:v>Drattak</x:v>
      </x:c>
      <x:c r="C368" s="23" t="str">
        <x:v>Salamence</x:v>
      </x:c>
      <x:c r="D368" s="23" t="str">
        <x:v>Dragon</x:v>
      </x:c>
      <x:c r="E368" s="23" t="str">
        <x:v>Vol</x:v>
      </x:c>
      <x:c r="F368" s="23" t="str">
        <x:v>Ultra Rare</x:v>
      </x:c>
      <x:c r="G368" s="45" t="n">
        <x:v>75000</x:v>
      </x:c>
      <x:c r="H368" s="45" t="n">
        <x:f>IF(G368="","",ROUNDUP(G368*3,0))</x:f>
        <x:v>225000</x:v>
      </x:c>
      <x:c r="I368" s="41" t="n">
        <x:v>1</x:v>
      </x:c>
      <x:c r="J368" s="42" t="n">
        <x:v>95</x:v>
      </x:c>
      <x:c r="K368" s="42" t="n">
        <x:v>135</x:v>
      </x:c>
      <x:c r="L368" s="42" t="n">
        <x:v>80</x:v>
      </x:c>
      <x:c r="M368" s="42" t="n">
        <x:v>110</x:v>
      </x:c>
      <x:c r="N368" s="42" t="n">
        <x:v>80</x:v>
      </x:c>
      <x:c r="O368" s="42" t="n">
        <x:v>100</x:v>
      </x:c>
      <x:c r="P368" s="43" t="n">
        <x:f>IF(COUNT(J368:O368)=0,"",SUM(J368:O368))</x:f>
        <x:v>600</x:v>
      </x:c>
      <x:c r="Q368" s="23" t="str">
        <x:v>4 lignes de spawn</x:v>
      </x:c>
      <x:c r="R368" s="23" t="str">
        <x:v>Drattak serait né du puissant rêve, longtemps nourri, de posséder des ailes. On raconte que ce désir ardent aurait déclenché une soudaine mutation de ses cellules, faisant apparaître ses magnifiques ailes.</x:v>
      </x:c>
      <x:c r="S368" s="23" t="str"/>
      <x:c r="T368" s="23" t="str">
        <x:v>https://pixelmonmod.com/wiki/Salamence</x:v>
      </x:c>
    </x:row>
    <x:row r="369" ht="54" customHeight="1">
      <x:c r="A369" s="27" t="n">
        <x:v>374</x:v>
      </x:c>
      <x:c r="B369" s="23" t="str">
        <x:v>Terhal</x:v>
      </x:c>
      <x:c r="C369" s="23" t="str">
        <x:v>Beldum</x:v>
      </x:c>
      <x:c r="D369" s="23" t="str">
        <x:v>Acier</x:v>
      </x:c>
      <x:c r="E369" s="23" t="str">
        <x:v>Psy</x:v>
      </x:c>
      <x:c r="F369" s="23" t="str">
        <x:v>Ultra Rare</x:v>
      </x:c>
      <x:c r="G369" s="45" t="n">
        <x:v>75000</x:v>
      </x:c>
      <x:c r="H369" s="45" t="n">
        <x:f>IF(G369="","",ROUNDUP(G369*3,0))</x:f>
        <x:v>225000</x:v>
      </x:c>
      <x:c r="I369" s="41" t="n">
        <x:v>0.5710000000000001</x:v>
      </x:c>
      <x:c r="J369" s="42" t="n">
        <x:v>40</x:v>
      </x:c>
      <x:c r="K369" s="42" t="n">
        <x:v>55</x:v>
      </x:c>
      <x:c r="L369" s="42" t="n">
        <x:v>80</x:v>
      </x:c>
      <x:c r="M369" s="42" t="n">
        <x:v>35</x:v>
      </x:c>
      <x:c r="N369" s="42" t="n">
        <x:v>60</x:v>
      </x:c>
      <x:c r="O369" s="42" t="n">
        <x:v>30</x:v>
      </x:c>
      <x:c r="P369" s="43" t="n">
        <x:f>IF(COUNT(J369:O369)=0,"",SUM(J369:O369))</x:f>
        <x:v>300</x:v>
      </x:c>
      <x:c r="Q369" s="23" t="str">
        <x:v>7 lignes de spawn</x:v>
      </x:c>
      <x:c r="R369" s="23" t="str">
        <x:v>Au lieu de sang, une puissante force magnétique parcourt le corps de Terhal. Ce Pokémon communique avec ses semblables en envoyant des impulsions magnétiques contrôlées.</x:v>
      </x:c>
      <x:c r="S369" s="23" t="str"/>
      <x:c r="T369" s="23" t="str">
        <x:v>https://pixelmonmod.com/wiki/Beldum</x:v>
      </x:c>
    </x:row>
    <x:row r="370" ht="54" customHeight="1">
      <x:c r="A370" s="27" t="n">
        <x:v>375</x:v>
      </x:c>
      <x:c r="B370" s="23" t="str">
        <x:v>Métang</x:v>
      </x:c>
      <x:c r="C370" s="23" t="str">
        <x:v>Metang</x:v>
      </x:c>
      <x:c r="D370" s="23" t="str">
        <x:v>Acier</x:v>
      </x:c>
      <x:c r="E370" s="23" t="str">
        <x:v>Psy</x:v>
      </x:c>
      <x:c r="F370" s="23" t="str">
        <x:v>Ultra Rare</x:v>
      </x:c>
      <x:c r="G370" s="45" t="n">
        <x:v>75000</x:v>
      </x:c>
      <x:c r="H370" s="45" t="n">
        <x:f>IF(G370="","",ROUNDUP(G370*3,0))</x:f>
        <x:v>225000</x:v>
      </x:c>
      <x:c r="I370" s="41" t="n">
        <x:v>0.833</x:v>
      </x:c>
      <x:c r="J370" s="42" t="n">
        <x:v>60</x:v>
      </x:c>
      <x:c r="K370" s="42" t="n">
        <x:v>75</x:v>
      </x:c>
      <x:c r="L370" s="42" t="n">
        <x:v>100</x:v>
      </x:c>
      <x:c r="M370" s="42" t="n">
        <x:v>55</x:v>
      </x:c>
      <x:c r="N370" s="42" t="n">
        <x:v>80</x:v>
      </x:c>
      <x:c r="O370" s="42" t="n">
        <x:v>50</x:v>
      </x:c>
      <x:c r="P370" s="43" t="n">
        <x:f>IF(COUNT(J370:O370)=0,"",SUM(J370:O370))</x:f>
        <x:v>420</x:v>
      </x:c>
      <x:c r="Q370" s="23" t="str">
        <x:v>6 lignes de spawn</x:v>
      </x:c>
      <x:c r="R370" s="23" t="str">
        <x:v>Lorsque deux Terhal fusionnent, un Métang se forme. Les cerveaux des Terhal sont reliés par un système nerveux magnétique. En les reliant ainsi, ce Pokémon génère de puissants pouvoirs psychocinétiques.</x:v>
      </x:c>
      <x:c r="S370" s="23" t="str"/>
      <x:c r="T370" s="23" t="str">
        <x:v>https://pixelmonmod.com/wiki/Metang</x:v>
      </x:c>
    </x:row>
    <x:row r="371" ht="54" customHeight="1">
      <x:c r="A371" s="27" t="n">
        <x:v>376</x:v>
      </x:c>
      <x:c r="B371" s="23" t="str">
        <x:v>Métalosse</x:v>
      </x:c>
      <x:c r="C371" s="23" t="str">
        <x:v>Metagross</x:v>
      </x:c>
      <x:c r="D371" s="23" t="str">
        <x:v>Acier</x:v>
      </x:c>
      <x:c r="E371" s="23" t="str">
        <x:v>Psy</x:v>
      </x:c>
      <x:c r="F371" s="23" t="str">
        <x:v>Ultra Rare</x:v>
      </x:c>
      <x:c r="G371" s="45" t="n">
        <x:v>75000</x:v>
      </x:c>
      <x:c r="H371" s="45" t="n">
        <x:f>IF(G371="","",ROUNDUP(G371*3,0))</x:f>
        <x:v>225000</x:v>
      </x:c>
      <x:c r="I371" s="41" t="n">
        <x:v>1</x:v>
      </x:c>
      <x:c r="J371" s="42" t="n">
        <x:v>80</x:v>
      </x:c>
      <x:c r="K371" s="42" t="n">
        <x:v>135</x:v>
      </x:c>
      <x:c r="L371" s="42" t="n">
        <x:v>130</x:v>
      </x:c>
      <x:c r="M371" s="42" t="n">
        <x:v>95</x:v>
      </x:c>
      <x:c r="N371" s="42" t="n">
        <x:v>90</x:v>
      </x:c>
      <x:c r="O371" s="42" t="n">
        <x:v>70</x:v>
      </x:c>
      <x:c r="P371" s="43" t="n">
        <x:f>IF(COUNT(J371:O371)=0,"",SUM(J371:O371))</x:f>
        <x:v>600</x:v>
      </x:c>
      <x:c r="Q371" s="23" t="str">
        <x:v>10 lignes de spawn</x:v>
      </x:c>
      <x:c r="R371" s="23" t="str">
        <x:v>Métalosse possède quatre cerveaux. Ensemble, ils peuvent résoudre des calculs complexes plus vite qu'un superordinateur. Ce Pokémon peut flotter dans les airs en repliant ses quatre pattes.</x:v>
      </x:c>
      <x:c r="S371" s="23" t="str"/>
      <x:c r="T371" s="23" t="str">
        <x:v>https://pixelmonmod.com/wiki/Metagross</x:v>
      </x:c>
    </x:row>
    <x:row r="372" ht="54" customHeight="1">
      <x:c r="A372" s="27" t="n">
        <x:v>385</x:v>
      </x:c>
      <x:c r="B372" s="23" t="str">
        <x:v>Jirachi</x:v>
      </x:c>
      <x:c r="C372" s="23" t="str">
        <x:v>Jirachi</x:v>
      </x:c>
      <x:c r="D372" s="23" t="str">
        <x:v>Acier</x:v>
      </x:c>
      <x:c r="E372" s="23" t="str">
        <x:v>Psy</x:v>
      </x:c>
      <x:c r="F372" s="23" t="str">
        <x:v>Non classé</x:v>
      </x:c>
      <x:c r="G372" s="45"/>
      <x:c r="H372" s="45" t="str">
        <x:f>IF(G372="","",ROUNDUP(G372*3,0))</x:f>
      </x:c>
      <x:c r="I372" s="41"/>
      <x:c r="J372" s="42" t="n">
        <x:v>100</x:v>
      </x:c>
      <x:c r="K372" s="42" t="n">
        <x:v>100</x:v>
      </x:c>
      <x:c r="L372" s="42" t="n">
        <x:v>100</x:v>
      </x:c>
      <x:c r="M372" s="42" t="n">
        <x:v>100</x:v>
      </x:c>
      <x:c r="N372" s="42" t="n">
        <x:v>100</x:v>
      </x:c>
      <x:c r="O372" s="42" t="n">
        <x:v>100</x:v>
      </x:c>
      <x:c r="P372" s="43" t="n">
        <x:f>IF(COUNT(J372:O372)=0,"",SUM(J372:O372))</x:f>
        <x:v>600</x:v>
      </x:c>
      <x:c r="Q372" s="23" t="str">
        <x:v>Aucune ligne classée</x:v>
      </x:c>
      <x:c r="R372" s="23" t="str">
        <x:v>Une légende raconte que Jirachi exauce tout vœu écrit sur les bandelettes attachées à sa tête lorsqu'il s'éveille. S'il perçoit un danger, il se bat même sans se réveiller.</x:v>
      </x:c>
      <x:c r="S372" s="23" t="str">
        <x:v>Fabuleux : vente et prix à valider.</x:v>
      </x:c>
      <x:c r="T372" s="23" t="str">
        <x:v>https://pixelmonmod.com/wiki/Jirachi</x:v>
      </x:c>
    </x:row>
    <x:row r="373" ht="54" customHeight="1">
      <x:c r="A373" s="27" t="n">
        <x:v>386</x:v>
      </x:c>
      <x:c r="B373" s="23" t="str">
        <x:v>Deoxys</x:v>
      </x:c>
      <x:c r="C373" s="23" t="str">
        <x:v>Deoxys</x:v>
      </x:c>
      <x:c r="D373" s="23" t="str">
        <x:v>Psy</x:v>
      </x:c>
      <x:c r="E373" s="23" t="str"/>
      <x:c r="F373" s="23" t="str">
        <x:v>Non classé</x:v>
      </x:c>
      <x:c r="G373" s="45"/>
      <x:c r="H373" s="45" t="str">
        <x:f>IF(G373="","",ROUNDUP(G373*3,0))</x:f>
      </x:c>
      <x:c r="I373" s="41"/>
      <x:c r="J373" s="42" t="n">
        <x:v>50</x:v>
      </x:c>
      <x:c r="K373" s="42" t="n">
        <x:v>150</x:v>
      </x:c>
      <x:c r="L373" s="42" t="n">
        <x:v>50</x:v>
      </x:c>
      <x:c r="M373" s="42" t="n">
        <x:v>150</x:v>
      </x:c>
      <x:c r="N373" s="42" t="n">
        <x:v>50</x:v>
      </x:c>
      <x:c r="O373" s="42" t="n">
        <x:v>150</x:v>
      </x:c>
      <x:c r="P373" s="43" t="n">
        <x:f>IF(COUNT(J373:O373)=0,"",SUM(J373:O373))</x:f>
        <x:v>600</x:v>
      </x:c>
      <x:c r="Q373" s="23" t="str">
        <x:v>Aucune ligne classée</x:v>
      </x:c>
      <x:c r="R373" s="23" t="str">
        <x:v>L'ADN d'un virus spatial a subi une mutation soudaine lorsqu'il a été exposé à un rayon laser, donnant naissance à Deoxys. L'organe cristallin sur sa poitrine semble être son cerveau.</x:v>
      </x:c>
      <x:c r="S373" s="23" t="str">
        <x:v>Fabuleux : vente et prix à valider.</x:v>
      </x:c>
      <x:c r="T373" s="23" t="str">
        <x:v>https://pixelmonmod.com/wiki/Deoxys</x:v>
      </x:c>
    </x:row>
    <x:row r="374" ht="54" customHeight="1">
      <x:c r="A374" s="27" t="n">
        <x:v>387</x:v>
      </x:c>
      <x:c r="B374" s="23" t="str">
        <x:v>Tortipouss</x:v>
      </x:c>
      <x:c r="C374" s="23" t="str">
        <x:v>Turtwig</x:v>
      </x:c>
      <x:c r="D374" s="23" t="str">
        <x:v>Plante</x:v>
      </x:c>
      <x:c r="E374" s="23" t="str"/>
      <x:c r="F374" s="23" t="str">
        <x:v>Ultra Rare</x:v>
      </x:c>
      <x:c r="G374" s="45" t="n">
        <x:v>75000</x:v>
      </x:c>
      <x:c r="H374" s="45" t="n">
        <x:f>IF(G374="","",ROUNDUP(G374*3,0))</x:f>
        <x:v>225000</x:v>
      </x:c>
      <x:c r="I374" s="41" t="n">
        <x:v>1</x:v>
      </x:c>
      <x:c r="J374" s="42" t="n">
        <x:v>55</x:v>
      </x:c>
      <x:c r="K374" s="42" t="n">
        <x:v>68</x:v>
      </x:c>
      <x:c r="L374" s="42" t="n">
        <x:v>64</x:v>
      </x:c>
      <x:c r="M374" s="42" t="n">
        <x:v>45</x:v>
      </x:c>
      <x:c r="N374" s="42" t="n">
        <x:v>55</x:v>
      </x:c>
      <x:c r="O374" s="42" t="n">
        <x:v>31</x:v>
      </x:c>
      <x:c r="P374" s="43" t="n">
        <x:f>IF(COUNT(J374:O374)=0,"",SUM(J374:O374))</x:f>
        <x:v>318</x:v>
      </x:c>
      <x:c r="Q374" s="23" t="str">
        <x:v>3 lignes de spawn</x:v>
      </x:c>
      <x:c r="R374" s="23" t="str">
        <x:v>La photosynthèse se déroule sur tout son corps lorsqu'il est exposé au soleil. Sa carapace est en réalité un sol durci.</x:v>
      </x:c>
      <x:c r="S374" s="23" t="str"/>
      <x:c r="T374" s="23" t="str">
        <x:v>https://pixelmonmod.com/wiki/Turtwig</x:v>
      </x:c>
    </x:row>
    <x:row r="375" ht="54" customHeight="1">
      <x:c r="A375" s="27" t="n">
        <x:v>388</x:v>
      </x:c>
      <x:c r="B375" s="23" t="str">
        <x:v>Boskara</x:v>
      </x:c>
      <x:c r="C375" s="23" t="str">
        <x:v>Grotle</x:v>
      </x:c>
      <x:c r="D375" s="23" t="str">
        <x:v>Plante</x:v>
      </x:c>
      <x:c r="E375" s="23" t="str"/>
      <x:c r="F375" s="23" t="str">
        <x:v>Ultra Rare</x:v>
      </x:c>
      <x:c r="G375" s="45" t="n">
        <x:v>75000</x:v>
      </x:c>
      <x:c r="H375" s="45" t="n">
        <x:f>IF(G375="","",ROUNDUP(G375*3,0))</x:f>
        <x:v>225000</x:v>
      </x:c>
      <x:c r="I375" s="41" t="n">
        <x:v>1</x:v>
      </x:c>
      <x:c r="J375" s="42" t="n">
        <x:v>75</x:v>
      </x:c>
      <x:c r="K375" s="42" t="n">
        <x:v>89</x:v>
      </x:c>
      <x:c r="L375" s="42" t="n">
        <x:v>85</x:v>
      </x:c>
      <x:c r="M375" s="42" t="n">
        <x:v>55</x:v>
      </x:c>
      <x:c r="N375" s="42" t="n">
        <x:v>65</x:v>
      </x:c>
      <x:c r="O375" s="42" t="n">
        <x:v>36</x:v>
      </x:c>
      <x:c r="P375" s="43" t="n">
        <x:f>IF(COUNT(J375:O375)=0,"",SUM(J375:O375))</x:f>
        <x:v>405</x:v>
      </x:c>
      <x:c r="Q375" s="23" t="str">
        <x:v>3 lignes de spawn</x:v>
      </x:c>
      <x:c r="R375" s="23" t="str">
        <x:v>Il vit près de l'eau dans les forêts. Le jour, il quitte la forêt pour exposer au soleil sa carapace arborée.</x:v>
      </x:c>
      <x:c r="S375" s="23" t="str"/>
      <x:c r="T375" s="23" t="str">
        <x:v>https://pixelmonmod.com/wiki/Grotle</x:v>
      </x:c>
    </x:row>
    <x:row r="376" ht="54" customHeight="1">
      <x:c r="A376" s="27" t="n">
        <x:v>389</x:v>
      </x:c>
      <x:c r="B376" s="23" t="str">
        <x:v>Torterra</x:v>
      </x:c>
      <x:c r="C376" s="23" t="str">
        <x:v>Torterra</x:v>
      </x:c>
      <x:c r="D376" s="23" t="str">
        <x:v>Plante</x:v>
      </x:c>
      <x:c r="E376" s="23" t="str">
        <x:v>Sol</x:v>
      </x:c>
      <x:c r="F376" s="23" t="str">
        <x:v>Ultra Rare</x:v>
      </x:c>
      <x:c r="G376" s="45" t="n">
        <x:v>75000</x:v>
      </x:c>
      <x:c r="H376" s="45" t="n">
        <x:f>IF(G376="","",ROUNDUP(G376*3,0))</x:f>
        <x:v>225000</x:v>
      </x:c>
      <x:c r="I376" s="41" t="n">
        <x:v>1</x:v>
      </x:c>
      <x:c r="J376" s="42" t="n">
        <x:v>95</x:v>
      </x:c>
      <x:c r="K376" s="42" t="n">
        <x:v>109</x:v>
      </x:c>
      <x:c r="L376" s="42" t="n">
        <x:v>105</x:v>
      </x:c>
      <x:c r="M376" s="42" t="n">
        <x:v>75</x:v>
      </x:c>
      <x:c r="N376" s="42" t="n">
        <x:v>85</x:v>
      </x:c>
      <x:c r="O376" s="42" t="n">
        <x:v>56</x:v>
      </x:c>
      <x:c r="P376" s="43" t="n">
        <x:f>IF(COUNT(J376:O376)=0,"",SUM(J376:O376))</x:f>
        <x:v>525</x:v>
      </x:c>
      <x:c r="Q376" s="23" t="str">
        <x:v>3 lignes de spawn</x:v>
      </x:c>
      <x:c r="R376" s="23" t="str">
        <x:v>Les anciens imaginaient qu'un gigantesque Torterra vivait sous la terre.</x:v>
      </x:c>
      <x:c r="S376" s="23" t="str"/>
      <x:c r="T376" s="23" t="str">
        <x:v>https://pixelmonmod.com/wiki/Torterra</x:v>
      </x:c>
    </x:row>
    <x:row r="377" ht="54" customHeight="1">
      <x:c r="A377" s="27" t="n">
        <x:v>390</x:v>
      </x:c>
      <x:c r="B377" s="23" t="str">
        <x:v>Ouisticram</x:v>
      </x:c>
      <x:c r="C377" s="23" t="str">
        <x:v>Chimchar</x:v>
      </x:c>
      <x:c r="D377" s="23" t="str">
        <x:v>Feu</x:v>
      </x:c>
      <x:c r="E377" s="23" t="str"/>
      <x:c r="F377" s="23" t="str">
        <x:v>Very Rare / Ultra Rare</x:v>
      </x:c>
      <x:c r="G377" s="45" t="n">
        <x:v>75000</x:v>
      </x:c>
      <x:c r="H377" s="45" t="n">
        <x:f>IF(G377="","",ROUNDUP(G377*3,0))</x:f>
        <x:v>225000</x:v>
      </x:c>
      <x:c r="I377" s="41" t="n">
        <x:v>0.5</x:v>
      </x:c>
      <x:c r="J377" s="42" t="n">
        <x:v>44</x:v>
      </x:c>
      <x:c r="K377" s="42" t="n">
        <x:v>58</x:v>
      </x:c>
      <x:c r="L377" s="42" t="n">
        <x:v>44</x:v>
      </x:c>
      <x:c r="M377" s="42" t="n">
        <x:v>58</x:v>
      </x:c>
      <x:c r="N377" s="42" t="n">
        <x:v>44</x:v>
      </x:c>
      <x:c r="O377" s="42" t="n">
        <x:v>61</x:v>
      </x:c>
      <x:c r="P377" s="43" t="n">
        <x:f>IF(COUNT(J377:O377)=0,"",SUM(J377:O377))</x:f>
        <x:v>309</x:v>
      </x:c>
      <x:c r="Q377" s="23" t="str">
        <x:v>14 lignes de spawn</x:v>
      </x:c>
      <x:c r="R377" s="23" t="str">
        <x:v>La flamme sur son postérieur est alimentée par un gaz produit dans son ventre. Même la pluie ne peut l'éteindre.</x:v>
      </x:c>
      <x:c r="S377" s="23" t="str">
        <x:v>Égalité de fréquence; prix provisoire basé sur le palier le plus élevé. Very Rare aligné sur le palier Super Rare (provisoire).</x:v>
      </x:c>
      <x:c r="T377" s="23" t="str">
        <x:v>https://pixelmonmod.com/wiki/Chimchar</x:v>
      </x:c>
    </x:row>
    <x:row r="378" ht="54" customHeight="1">
      <x:c r="A378" s="27" t="n">
        <x:v>391</x:v>
      </x:c>
      <x:c r="B378" s="23" t="str">
        <x:v>Chimpenfeu</x:v>
      </x:c>
      <x:c r="C378" s="23" t="str">
        <x:v>Monferno</x:v>
      </x:c>
      <x:c r="D378" s="23" t="str">
        <x:v>Feu</x:v>
      </x:c>
      <x:c r="E378" s="23" t="str">
        <x:v>Combat</x:v>
      </x:c>
      <x:c r="F378" s="23" t="str">
        <x:v>Ultra Rare</x:v>
      </x:c>
      <x:c r="G378" s="45" t="n">
        <x:v>75000</x:v>
      </x:c>
      <x:c r="H378" s="45" t="n">
        <x:f>IF(G378="","",ROUNDUP(G378*3,0))</x:f>
        <x:v>225000</x:v>
      </x:c>
      <x:c r="I378" s="41" t="n">
        <x:v>1</x:v>
      </x:c>
      <x:c r="J378" s="42" t="n">
        <x:v>64</x:v>
      </x:c>
      <x:c r="K378" s="42" t="n">
        <x:v>78</x:v>
      </x:c>
      <x:c r="L378" s="42" t="n">
        <x:v>52</x:v>
      </x:c>
      <x:c r="M378" s="42" t="n">
        <x:v>78</x:v>
      </x:c>
      <x:c r="N378" s="42" t="n">
        <x:v>52</x:v>
      </x:c>
      <x:c r="O378" s="42" t="n">
        <x:v>81</x:v>
      </x:c>
      <x:c r="P378" s="43" t="n">
        <x:f>IF(COUNT(J378:O378)=0,"",SUM(J378:O378))</x:f>
        <x:v>405</x:v>
      </x:c>
      <x:c r="Q378" s="23" t="str">
        <x:v>7 lignes de spawn</x:v>
      </x:c>
      <x:c r="R378" s="23" t="str">
        <x:v>Il contrôle habilement l'intensité de la flamme de sa queue pour maintenir ses adversaires à une distance idéale.</x:v>
      </x:c>
      <x:c r="S378" s="23" t="str"/>
      <x:c r="T378" s="23" t="str">
        <x:v>https://pixelmonmod.com/wiki/Monferno</x:v>
      </x:c>
    </x:row>
    <x:row r="379" ht="54" customHeight="1">
      <x:c r="A379" s="27" t="n">
        <x:v>392</x:v>
      </x:c>
      <x:c r="B379" s="23" t="str">
        <x:v>Simiabraz</x:v>
      </x:c>
      <x:c r="C379" s="23" t="str">
        <x:v>Infernape</x:v>
      </x:c>
      <x:c r="D379" s="23" t="str">
        <x:v>Feu</x:v>
      </x:c>
      <x:c r="E379" s="23" t="str">
        <x:v>Combat</x:v>
      </x:c>
      <x:c r="F379" s="23" t="str">
        <x:v>Ultra Rare</x:v>
      </x:c>
      <x:c r="G379" s="45" t="n">
        <x:v>75000</x:v>
      </x:c>
      <x:c r="H379" s="45" t="n">
        <x:f>IF(G379="","",ROUNDUP(G379*3,0))</x:f>
        <x:v>225000</x:v>
      </x:c>
      <x:c r="I379" s="41" t="n">
        <x:v>1</x:v>
      </x:c>
      <x:c r="J379" s="42" t="n">
        <x:v>76</x:v>
      </x:c>
      <x:c r="K379" s="42" t="n">
        <x:v>104</x:v>
      </x:c>
      <x:c r="L379" s="42" t="n">
        <x:v>71</x:v>
      </x:c>
      <x:c r="M379" s="42" t="n">
        <x:v>104</x:v>
      </x:c>
      <x:c r="N379" s="42" t="n">
        <x:v>71</x:v>
      </x:c>
      <x:c r="O379" s="42" t="n">
        <x:v>108</x:v>
      </x:c>
      <x:c r="P379" s="43" t="n">
        <x:f>IF(COUNT(J379:O379)=0,"",SUM(J379:O379))</x:f>
        <x:v>534</x:v>
      </x:c>
      <x:c r="Q379" s="23" t="str">
        <x:v>7 lignes de spawn</x:v>
      </x:c>
      <x:c r="R379" s="23" t="str">
        <x:v>Sa couronne de feu symbolise sa nature ardente. Il n'a aucun rival en matière de rapidité.</x:v>
      </x:c>
      <x:c r="S379" s="23" t="str"/>
      <x:c r="T379" s="23" t="str">
        <x:v>https://pixelmonmod.com/wiki/Infernape</x:v>
      </x:c>
    </x:row>
    <x:row r="380" ht="54" customHeight="1">
      <x:c r="A380" s="27" t="n">
        <x:v>393</x:v>
      </x:c>
      <x:c r="B380" s="23" t="str">
        <x:v>Tiplouf</x:v>
      </x:c>
      <x:c r="C380" s="23" t="str">
        <x:v>Piplup</x:v>
      </x:c>
      <x:c r="D380" s="23" t="str">
        <x:v>Eau</x:v>
      </x:c>
      <x:c r="E380" s="23" t="str"/>
      <x:c r="F380" s="23" t="str">
        <x:v>Ultra Rare</x:v>
      </x:c>
      <x:c r="G380" s="45" t="n">
        <x:v>75000</x:v>
      </x:c>
      <x:c r="H380" s="45" t="n">
        <x:f>IF(G380="","",ROUNDUP(G380*3,0))</x:f>
        <x:v>225000</x:v>
      </x:c>
      <x:c r="I380" s="41" t="n">
        <x:v>0.556</x:v>
      </x:c>
      <x:c r="J380" s="42" t="n">
        <x:v>53</x:v>
      </x:c>
      <x:c r="K380" s="42" t="n">
        <x:v>51</x:v>
      </x:c>
      <x:c r="L380" s="42" t="n">
        <x:v>53</x:v>
      </x:c>
      <x:c r="M380" s="42" t="n">
        <x:v>61</x:v>
      </x:c>
      <x:c r="N380" s="42" t="n">
        <x:v>56</x:v>
      </x:c>
      <x:c r="O380" s="42" t="n">
        <x:v>40</x:v>
      </x:c>
      <x:c r="P380" s="43" t="n">
        <x:f>IF(COUNT(J380:O380)=0,"",SUM(J380:O380))</x:f>
        <x:v>314</x:v>
      </x:c>
      <x:c r="Q380" s="23" t="str">
        <x:v>18 lignes de spawn</x:v>
      </x:c>
      <x:c r="R380" s="23" t="str">
        <x:v>Il n'aime pas qu'on prenne soin de lui. Il est difficile de créer un lien avec lui, car il n'écoute pas son Dresseur.</x:v>
      </x:c>
      <x:c r="S380" s="23" t="str"/>
      <x:c r="T380" s="23" t="str">
        <x:v>https://pixelmonmod.com/wiki/Piplup</x:v>
      </x:c>
    </x:row>
    <x:row r="381" ht="54" customHeight="1">
      <x:c r="A381" s="27" t="n">
        <x:v>394</x:v>
      </x:c>
      <x:c r="B381" s="23" t="str">
        <x:v>Prinplouf</x:v>
      </x:c>
      <x:c r="C381" s="23" t="str">
        <x:v>Prinplup</x:v>
      </x:c>
      <x:c r="D381" s="23" t="str">
        <x:v>Eau</x:v>
      </x:c>
      <x:c r="E381" s="23" t="str"/>
      <x:c r="F381" s="23" t="str">
        <x:v>Ultra Rare</x:v>
      </x:c>
      <x:c r="G381" s="45" t="n">
        <x:v>75000</x:v>
      </x:c>
      <x:c r="H381" s="45" t="n">
        <x:f>IF(G381="","",ROUNDUP(G381*3,0))</x:f>
        <x:v>225000</x:v>
      </x:c>
      <x:c r="I381" s="41" t="n">
        <x:v>0.9</x:v>
      </x:c>
      <x:c r="J381" s="42" t="n">
        <x:v>64</x:v>
      </x:c>
      <x:c r="K381" s="42" t="n">
        <x:v>66</x:v>
      </x:c>
      <x:c r="L381" s="42" t="n">
        <x:v>68</x:v>
      </x:c>
      <x:c r="M381" s="42" t="n">
        <x:v>81</x:v>
      </x:c>
      <x:c r="N381" s="42" t="n">
        <x:v>76</x:v>
      </x:c>
      <x:c r="O381" s="42" t="n">
        <x:v>50</x:v>
      </x:c>
      <x:c r="P381" s="43" t="n">
        <x:f>IF(COUNT(J381:O381)=0,"",SUM(J381:O381))</x:f>
        <x:v>405</x:v>
      </x:c>
      <x:c r="Q381" s="23" t="str">
        <x:v>10 lignes de spawn</x:v>
      </x:c>
      <x:c r="R381" s="23" t="str">
        <x:v>Il vit seul, loin des autres. Apparemment, chacun d'eux se croit le plus important.</x:v>
      </x:c>
      <x:c r="S381" s="23" t="str"/>
      <x:c r="T381" s="23" t="str">
        <x:v>https://pixelmonmod.com/wiki/Prinplup</x:v>
      </x:c>
    </x:row>
    <x:row r="382" ht="54" customHeight="1">
      <x:c r="A382" s="27" t="n">
        <x:v>395</x:v>
      </x:c>
      <x:c r="B382" s="23" t="str">
        <x:v>Pingoléon</x:v>
      </x:c>
      <x:c r="C382" s="23" t="str">
        <x:v>Empoleon</x:v>
      </x:c>
      <x:c r="D382" s="23" t="str">
        <x:v>Eau</x:v>
      </x:c>
      <x:c r="E382" s="23" t="str">
        <x:v>Acier</x:v>
      </x:c>
      <x:c r="F382" s="23" t="str">
        <x:v>Ultra Rare</x:v>
      </x:c>
      <x:c r="G382" s="45" t="n">
        <x:v>75000</x:v>
      </x:c>
      <x:c r="H382" s="45" t="n">
        <x:f>IF(G382="","",ROUNDUP(G382*3,0))</x:f>
        <x:v>225000</x:v>
      </x:c>
      <x:c r="I382" s="41" t="n">
        <x:v>1</x:v>
      </x:c>
      <x:c r="J382" s="42" t="n">
        <x:v>84</x:v>
      </x:c>
      <x:c r="K382" s="42" t="n">
        <x:v>86</x:v>
      </x:c>
      <x:c r="L382" s="42" t="n">
        <x:v>88</x:v>
      </x:c>
      <x:c r="M382" s="42" t="n">
        <x:v>111</x:v>
      </x:c>
      <x:c r="N382" s="42" t="n">
        <x:v>101</x:v>
      </x:c>
      <x:c r="O382" s="42" t="n">
        <x:v>60</x:v>
      </x:c>
      <x:c r="P382" s="43" t="n">
        <x:f>IF(COUNT(J382:O382)=0,"",SUM(J382:O382))</x:f>
        <x:v>530</x:v>
      </x:c>
      <x:c r="Q382" s="23" t="str">
        <x:v>9 lignes de spawn</x:v>
      </x:c>
      <x:c r="R382" s="23" t="str">
        <x:v>Il nage aussi vite qu'un hors-bord. Les bords tranchants de ses ailes peuvent fendre la glace à la dérive.</x:v>
      </x:c>
      <x:c r="S382" s="23" t="str"/>
      <x:c r="T382" s="23" t="str">
        <x:v>https://pixelmonmod.com/wiki/Empoleon</x:v>
      </x:c>
    </x:row>
    <x:row r="383" ht="54" customHeight="1">
      <x:c r="A383" s="27" t="n">
        <x:v>396</x:v>
      </x:c>
      <x:c r="B383" s="23" t="str">
        <x:v>Étourmi</x:v>
      </x:c>
      <x:c r="C383" s="23" t="str">
        <x:v>Starly</x:v>
      </x:c>
      <x:c r="D383" s="23" t="str">
        <x:v>Normal</x:v>
      </x:c>
      <x:c r="E383" s="23" t="str">
        <x:v>Vol</x:v>
      </x:c>
      <x:c r="F383" s="23" t="str">
        <x:v>Common</x:v>
      </x:c>
      <x:c r="G383" s="45" t="n">
        <x:v>2000</x:v>
      </x:c>
      <x:c r="H383" s="45" t="n">
        <x:f>IF(G383="","",ROUNDUP(G383*3,0))</x:f>
        <x:v>6000</x:v>
      </x:c>
      <x:c r="I383" s="41" t="n">
        <x:v>0.667</x:v>
      </x:c>
      <x:c r="J383" s="42" t="n">
        <x:v>40</x:v>
      </x:c>
      <x:c r="K383" s="42" t="n">
        <x:v>55</x:v>
      </x:c>
      <x:c r="L383" s="42" t="n">
        <x:v>30</x:v>
      </x:c>
      <x:c r="M383" s="42" t="n">
        <x:v>30</x:v>
      </x:c>
      <x:c r="N383" s="42" t="n">
        <x:v>30</x:v>
      </x:c>
      <x:c r="O383" s="42" t="n">
        <x:v>60</x:v>
      </x:c>
      <x:c r="P383" s="43" t="n">
        <x:f>IF(COUNT(J383:O383)=0,"",SUM(J383:O383))</x:f>
        <x:v>245</x:v>
      </x:c>
      <x:c r="Q383" s="23" t="str">
        <x:v>9 lignes de spawn</x:v>
      </x:c>
      <x:c r="R383" s="23" t="str">
        <x:v>Ils se rassemblent en grand nombre. Bien que petit, il bat des ailes avec une grande puissance.</x:v>
      </x:c>
      <x:c r="S383" s="23" t="str"/>
      <x:c r="T383" s="23" t="str">
        <x:v>https://pixelmonmod.com/wiki/Starly</x:v>
      </x:c>
    </x:row>
    <x:row r="384" ht="54" customHeight="1">
      <x:c r="A384" s="27" t="n">
        <x:v>397</x:v>
      </x:c>
      <x:c r="B384" s="23" t="str">
        <x:v>Étourvol</x:v>
      </x:c>
      <x:c r="C384" s="23" t="str">
        <x:v>Staravia</x:v>
      </x:c>
      <x:c r="D384" s="23" t="str">
        <x:v>Normal</x:v>
      </x:c>
      <x:c r="E384" s="23" t="str">
        <x:v>Vol</x:v>
      </x:c>
      <x:c r="F384" s="23" t="str">
        <x:v>Uncommon</x:v>
      </x:c>
      <x:c r="G384" s="45" t="n">
        <x:v>5000</x:v>
      </x:c>
      <x:c r="H384" s="45" t="n">
        <x:f>IF(G384="","",ROUNDUP(G384*3,0))</x:f>
        <x:v>15000</x:v>
      </x:c>
      <x:c r="I384" s="41" t="n">
        <x:v>1</x:v>
      </x:c>
      <x:c r="J384" s="42" t="n">
        <x:v>55</x:v>
      </x:c>
      <x:c r="K384" s="42" t="n">
        <x:v>75</x:v>
      </x:c>
      <x:c r="L384" s="42" t="n">
        <x:v>50</x:v>
      </x:c>
      <x:c r="M384" s="42" t="n">
        <x:v>40</x:v>
      </x:c>
      <x:c r="N384" s="42" t="n">
        <x:v>40</x:v>
      </x:c>
      <x:c r="O384" s="42" t="n">
        <x:v>80</x:v>
      </x:c>
      <x:c r="P384" s="43" t="n">
        <x:f>IF(COUNT(J384:O384)=0,"",SUM(J384:O384))</x:f>
        <x:v>340</x:v>
      </x:c>
      <x:c r="Q384" s="23" t="str">
        <x:v>7 lignes de spawn</x:v>
      </x:c>
      <x:c r="R384" s="23" t="str">
        <x:v>Ils maintiennent d'immenses groupes, bien que de violentes disputes éclatent entre les différentes volées.</x:v>
      </x:c>
      <x:c r="S384" s="23" t="str"/>
      <x:c r="T384" s="23" t="str">
        <x:v>https://pixelmonmod.com/wiki/Staravia</x:v>
      </x:c>
    </x:row>
    <x:row r="385" ht="54" customHeight="1">
      <x:c r="A385" s="27" t="n">
        <x:v>398</x:v>
      </x:c>
      <x:c r="B385" s="23" t="str">
        <x:v>Étouraptor</x:v>
      </x:c>
      <x:c r="C385" s="23" t="str">
        <x:v>Staraptor</x:v>
      </x:c>
      <x:c r="D385" s="23" t="str">
        <x:v>Normal</x:v>
      </x:c>
      <x:c r="E385" s="23" t="str">
        <x:v>Vol</x:v>
      </x:c>
      <x:c r="F385" s="23" t="str">
        <x:v>Ultra Rare</x:v>
      </x:c>
      <x:c r="G385" s="45" t="n">
        <x:v>75000</x:v>
      </x:c>
      <x:c r="H385" s="45" t="n">
        <x:f>IF(G385="","",ROUNDUP(G385*3,0))</x:f>
        <x:v>225000</x:v>
      </x:c>
      <x:c r="I385" s="41" t="n">
        <x:v>1</x:v>
      </x:c>
      <x:c r="J385" s="42" t="n">
        <x:v>85</x:v>
      </x:c>
      <x:c r="K385" s="42" t="n">
        <x:v>120</x:v>
      </x:c>
      <x:c r="L385" s="42" t="n">
        <x:v>70</x:v>
      </x:c>
      <x:c r="M385" s="42" t="n">
        <x:v>50</x:v>
      </x:c>
      <x:c r="N385" s="42" t="n">
        <x:v>60</x:v>
      </x:c>
      <x:c r="O385" s="42" t="n">
        <x:v>100</x:v>
      </x:c>
      <x:c r="P385" s="43" t="n">
        <x:f>IF(COUNT(J385:O385)=0,"",SUM(J385:O385))</x:f>
        <x:v>485</x:v>
      </x:c>
      <x:c r="Q385" s="23" t="str">
        <x:v>4 lignes de spawn</x:v>
      </x:c>
      <x:c r="R385" s="23" t="str">
        <x:v>Les muscles de ses ailes et de ses pattes sont puissants. Il peut voler aisément tout en tenant un petit Pokémon.</x:v>
      </x:c>
      <x:c r="S385" s="23" t="str"/>
      <x:c r="T385" s="23" t="str">
        <x:v>https://pixelmonmod.com/wiki/Staraptor</x:v>
      </x:c>
    </x:row>
    <x:row r="386" ht="54" customHeight="1">
      <x:c r="A386" s="27" t="n">
        <x:v>399</x:v>
      </x:c>
      <x:c r="B386" s="23" t="str">
        <x:v>Keunotor</x:v>
      </x:c>
      <x:c r="C386" s="23" t="str">
        <x:v>Bidoof</x:v>
      </x:c>
      <x:c r="D386" s="23" t="str">
        <x:v>Normal</x:v>
      </x:c>
      <x:c r="E386" s="23" t="str"/>
      <x:c r="F386" s="23" t="str">
        <x:v>Common</x:v>
      </x:c>
      <x:c r="G386" s="45" t="n">
        <x:v>2000</x:v>
      </x:c>
      <x:c r="H386" s="45" t="n">
        <x:f>IF(G386="","",ROUNDUP(G386*3,0))</x:f>
        <x:v>6000</x:v>
      </x:c>
      <x:c r="I386" s="41" t="n">
        <x:v>1</x:v>
      </x:c>
      <x:c r="J386" s="42" t="n">
        <x:v>59</x:v>
      </x:c>
      <x:c r="K386" s="42" t="n">
        <x:v>45</x:v>
      </x:c>
      <x:c r="L386" s="42" t="n">
        <x:v>40</x:v>
      </x:c>
      <x:c r="M386" s="42" t="n">
        <x:v>35</x:v>
      </x:c>
      <x:c r="N386" s="42" t="n">
        <x:v>40</x:v>
      </x:c>
      <x:c r="O386" s="42" t="n">
        <x:v>31</x:v>
      </x:c>
      <x:c r="P386" s="43" t="n">
        <x:f>IF(COUNT(J386:O386)=0,"",SUM(J386:O386))</x:f>
        <x:v>250</x:v>
      </x:c>
      <x:c r="Q386" s="23" t="str">
        <x:v>3 lignes de spawn</x:v>
      </x:c>
      <x:c r="R386" s="23" t="str">
        <x:v>D'un calme à toute épreuve, rien ne peut le perturber. Il est plus agile et actif qu'il n'en a l'air.</x:v>
      </x:c>
      <x:c r="S386" s="23" t="str"/>
      <x:c r="T386" s="23" t="str">
        <x:v>https://pixelmonmod.com/wiki/Bidoof</x:v>
      </x:c>
    </x:row>
    <x:row r="387" ht="54" customHeight="1">
      <x:c r="A387" s="27" t="n">
        <x:v>400</x:v>
      </x:c>
      <x:c r="B387" s="23" t="str">
        <x:v>Castorno</x:v>
      </x:c>
      <x:c r="C387" s="23" t="str">
        <x:v>Bibarel</x:v>
      </x:c>
      <x:c r="D387" s="23" t="str">
        <x:v>Normal</x:v>
      </x:c>
      <x:c r="E387" s="23" t="str">
        <x:v>Eau</x:v>
      </x:c>
      <x:c r="F387" s="23" t="str">
        <x:v>Rare</x:v>
      </x:c>
      <x:c r="G387" s="45" t="n">
        <x:v>12000</x:v>
      </x:c>
      <x:c r="H387" s="45" t="n">
        <x:f>IF(G387="","",ROUNDUP(G387*3,0))</x:f>
        <x:v>36000</x:v>
      </x:c>
      <x:c r="I387" s="41" t="n">
        <x:v>1</x:v>
      </x:c>
      <x:c r="J387" s="42" t="n">
        <x:v>79</x:v>
      </x:c>
      <x:c r="K387" s="42" t="n">
        <x:v>85</x:v>
      </x:c>
      <x:c r="L387" s="42" t="n">
        <x:v>60</x:v>
      </x:c>
      <x:c r="M387" s="42" t="n">
        <x:v>55</x:v>
      </x:c>
      <x:c r="N387" s="42" t="n">
        <x:v>60</x:v>
      </x:c>
      <x:c r="O387" s="42" t="n">
        <x:v>71</x:v>
      </x:c>
      <x:c r="P387" s="43" t="n">
        <x:f>IF(COUNT(J387:O387)=0,"",SUM(J387:O387))</x:f>
        <x:v>410</x:v>
      </x:c>
      <x:c r="Q387" s="23" t="str">
        <x:v>3 lignes de spawn</x:v>
      </x:c>
      <x:c r="R387" s="23" t="str">
        <x:v>Il construit activement son nid avec des piles de branches et de racines qu'il coupe grâce à ses incisives acérées.</x:v>
      </x:c>
      <x:c r="S387" s="23" t="str"/>
      <x:c r="T387" s="23" t="str">
        <x:v>https://pixelmonmod.com/wiki/Bibarel</x:v>
      </x:c>
    </x:row>
    <x:row r="388" ht="54" customHeight="1">
      <x:c r="A388" s="27" t="n">
        <x:v>401</x:v>
      </x:c>
      <x:c r="B388" s="23" t="str">
        <x:v>Crikzik</x:v>
      </x:c>
      <x:c r="C388" s="23" t="str">
        <x:v>Kricketot</x:v>
      </x:c>
      <x:c r="D388" s="23" t="str">
        <x:v>Insecte</x:v>
      </x:c>
      <x:c r="E388" s="23" t="str"/>
      <x:c r="F388" s="23" t="str">
        <x:v>Uncommon</x:v>
      </x:c>
      <x:c r="G388" s="45" t="n">
        <x:v>5000</x:v>
      </x:c>
      <x:c r="H388" s="45" t="n">
        <x:f>IF(G388="","",ROUNDUP(G388*3,0))</x:f>
        <x:v>15000</x:v>
      </x:c>
      <x:c r="I388" s="41" t="n">
        <x:v>1</x:v>
      </x:c>
      <x:c r="J388" s="42" t="n">
        <x:v>37</x:v>
      </x:c>
      <x:c r="K388" s="42" t="n">
        <x:v>25</x:v>
      </x:c>
      <x:c r="L388" s="42" t="n">
        <x:v>41</x:v>
      </x:c>
      <x:c r="M388" s="42" t="n">
        <x:v>25</x:v>
      </x:c>
      <x:c r="N388" s="42" t="n">
        <x:v>41</x:v>
      </x:c>
      <x:c r="O388" s="42" t="n">
        <x:v>25</x:v>
      </x:c>
      <x:c r="P388" s="43" t="n">
        <x:f>IF(COUNT(J388:O388)=0,"",SUM(J388:O388))</x:f>
        <x:v>194</x:v>
      </x:c>
      <x:c r="Q388" s="23" t="str">
        <x:v>1 lignes de spawn</x:v>
      </x:c>
      <x:c r="R388" s="23" t="str">
        <x:v>Il communique avec ses semblables en heurtant ses antennes. Ces sons sont typiques de l'automne.</x:v>
      </x:c>
      <x:c r="S388" s="23" t="str"/>
      <x:c r="T388" s="23" t="str">
        <x:v>https://pixelmonmod.com/wiki/Kricketot</x:v>
      </x:c>
    </x:row>
    <x:row r="389" ht="54" customHeight="1">
      <x:c r="A389" s="27" t="n">
        <x:v>402</x:v>
      </x:c>
      <x:c r="B389" s="23" t="str">
        <x:v>Mélokrik</x:v>
      </x:c>
      <x:c r="C389" s="23" t="str">
        <x:v>Kricketune</x:v>
      </x:c>
      <x:c r="D389" s="23" t="str">
        <x:v>Insecte</x:v>
      </x:c>
      <x:c r="E389" s="23" t="str"/>
      <x:c r="F389" s="23" t="str">
        <x:v>Ultra Rare</x:v>
      </x:c>
      <x:c r="G389" s="45" t="n">
        <x:v>75000</x:v>
      </x:c>
      <x:c r="H389" s="45" t="n">
        <x:f>IF(G389="","",ROUNDUP(G389*3,0))</x:f>
        <x:v>225000</x:v>
      </x:c>
      <x:c r="I389" s="41" t="n">
        <x:v>1</x:v>
      </x:c>
      <x:c r="J389" s="42" t="n">
        <x:v>77</x:v>
      </x:c>
      <x:c r="K389" s="42" t="n">
        <x:v>85</x:v>
      </x:c>
      <x:c r="L389" s="42" t="n">
        <x:v>51</x:v>
      </x:c>
      <x:c r="M389" s="42" t="n">
        <x:v>55</x:v>
      </x:c>
      <x:c r="N389" s="42" t="n">
        <x:v>51</x:v>
      </x:c>
      <x:c r="O389" s="42" t="n">
        <x:v>65</x:v>
      </x:c>
      <x:c r="P389" s="43" t="n">
        <x:f>IF(COUNT(J389:O389)=0,"",SUM(J389:O389))</x:f>
        <x:v>384</x:v>
      </x:c>
      <x:c r="Q389" s="23" t="str">
        <x:v>1 lignes de spawn</x:v>
      </x:c>
      <x:c r="R389" s="23" t="str">
        <x:v>Il croise ses bras tranchants devant sa poitrine lorsqu'il chante. Il peut composer des mélodies à la volée.</x:v>
      </x:c>
      <x:c r="S389" s="23" t="str"/>
      <x:c r="T389" s="23" t="str">
        <x:v>https://pixelmonmod.com/wiki/Kricketune</x:v>
      </x:c>
    </x:row>
    <x:row r="390" ht="54" customHeight="1">
      <x:c r="A390" s="27" t="n">
        <x:v>403</x:v>
      </x:c>
      <x:c r="B390" s="23" t="str">
        <x:v>Lixy</x:v>
      </x:c>
      <x:c r="C390" s="23" t="str">
        <x:v>Shinx</x:v>
      </x:c>
      <x:c r="D390" s="23" t="str">
        <x:v>Électrik</x:v>
      </x:c>
      <x:c r="E390" s="23" t="str"/>
      <x:c r="F390" s="23" t="str">
        <x:v>Uncommon</x:v>
      </x:c>
      <x:c r="G390" s="45" t="n">
        <x:v>5000</x:v>
      </x:c>
      <x:c r="H390" s="45" t="n">
        <x:f>IF(G390="","",ROUNDUP(G390*3,0))</x:f>
        <x:v>15000</x:v>
      </x:c>
      <x:c r="I390" s="41" t="n">
        <x:v>1</x:v>
      </x:c>
      <x:c r="J390" s="42" t="n">
        <x:v>45</x:v>
      </x:c>
      <x:c r="K390" s="42" t="n">
        <x:v>65</x:v>
      </x:c>
      <x:c r="L390" s="42" t="n">
        <x:v>34</x:v>
      </x:c>
      <x:c r="M390" s="42" t="n">
        <x:v>40</x:v>
      </x:c>
      <x:c r="N390" s="42" t="n">
        <x:v>34</x:v>
      </x:c>
      <x:c r="O390" s="42" t="n">
        <x:v>45</x:v>
      </x:c>
      <x:c r="P390" s="43" t="n">
        <x:f>IF(COUNT(J390:O390)=0,"",SUM(J390:O390))</x:f>
        <x:v>263</x:v>
      </x:c>
      <x:c r="Q390" s="23" t="str">
        <x:v>1 lignes de spawn</x:v>
      </x:c>
      <x:c r="R390" s="23" t="str">
        <x:v>L'extension et la contraction de ses muscles produisent de l'électricité. Il émet une lueur lorsqu'il est en difficulté.</x:v>
      </x:c>
      <x:c r="S390" s="23" t="str"/>
      <x:c r="T390" s="23" t="str">
        <x:v>https://pixelmonmod.com/wiki/Shinx</x:v>
      </x:c>
    </x:row>
    <x:row r="391" ht="54" customHeight="1">
      <x:c r="A391" s="27" t="n">
        <x:v>404</x:v>
      </x:c>
      <x:c r="B391" s="23" t="str">
        <x:v>Luxio</x:v>
      </x:c>
      <x:c r="C391" s="23" t="str">
        <x:v>Luxio</x:v>
      </x:c>
      <x:c r="D391" s="23" t="str">
        <x:v>Électrik</x:v>
      </x:c>
      <x:c r="E391" s="23" t="str"/>
      <x:c r="F391" s="23" t="str">
        <x:v>Rare</x:v>
      </x:c>
      <x:c r="G391" s="45" t="n">
        <x:v>12000</x:v>
      </x:c>
      <x:c r="H391" s="45" t="n">
        <x:f>IF(G391="","",ROUNDUP(G391*3,0))</x:f>
        <x:v>36000</x:v>
      </x:c>
      <x:c r="I391" s="41" t="n">
        <x:v>1</x:v>
      </x:c>
      <x:c r="J391" s="42" t="n">
        <x:v>60</x:v>
      </x:c>
      <x:c r="K391" s="42" t="n">
        <x:v>85</x:v>
      </x:c>
      <x:c r="L391" s="42" t="n">
        <x:v>49</x:v>
      </x:c>
      <x:c r="M391" s="42" t="n">
        <x:v>60</x:v>
      </x:c>
      <x:c r="N391" s="42" t="n">
        <x:v>49</x:v>
      </x:c>
      <x:c r="O391" s="42" t="n">
        <x:v>60</x:v>
      </x:c>
      <x:c r="P391" s="43" t="n">
        <x:f>IF(COUNT(J391:O391)=0,"",SUM(J391:O391))</x:f>
        <x:v>363</x:v>
      </x:c>
      <x:c r="Q391" s="23" t="str">
        <x:v>1 lignes de spawn</x:v>
      </x:c>
      <x:c r="R391" s="23" t="str">
        <x:v>Ses griffes libèrent une électricité assez puissante pour faire perdre connaissance. Ils vivent en petits groupes.</x:v>
      </x:c>
      <x:c r="S391" s="23" t="str"/>
      <x:c r="T391" s="23" t="str">
        <x:v>https://pixelmonmod.com/wiki/Luxio</x:v>
      </x:c>
    </x:row>
    <x:row r="392" ht="54" customHeight="1">
      <x:c r="A392" s="27" t="n">
        <x:v>405</x:v>
      </x:c>
      <x:c r="B392" s="23" t="str">
        <x:v>Luxray</x:v>
      </x:c>
      <x:c r="C392" s="23" t="str">
        <x:v>Luxray</x:v>
      </x:c>
      <x:c r="D392" s="23" t="str">
        <x:v>Électrik</x:v>
      </x:c>
      <x:c r="E392" s="23" t="str"/>
      <x:c r="F392" s="23" t="str">
        <x:v>Ultra Rare</x:v>
      </x:c>
      <x:c r="G392" s="45" t="n">
        <x:v>75000</x:v>
      </x:c>
      <x:c r="H392" s="45" t="n">
        <x:f>IF(G392="","",ROUNDUP(G392*3,0))</x:f>
        <x:v>225000</x:v>
      </x:c>
      <x:c r="I392" s="41" t="n">
        <x:v>1</x:v>
      </x:c>
      <x:c r="J392" s="42" t="n">
        <x:v>80</x:v>
      </x:c>
      <x:c r="K392" s="42" t="n">
        <x:v>120</x:v>
      </x:c>
      <x:c r="L392" s="42" t="n">
        <x:v>79</x:v>
      </x:c>
      <x:c r="M392" s="42" t="n">
        <x:v>95</x:v>
      </x:c>
      <x:c r="N392" s="42" t="n">
        <x:v>79</x:v>
      </x:c>
      <x:c r="O392" s="42" t="n">
        <x:v>70</x:v>
      </x:c>
      <x:c r="P392" s="43" t="n">
        <x:f>IF(COUNT(J392:O392)=0,"",SUM(J392:O392))</x:f>
        <x:v>523</x:v>
      </x:c>
      <x:c r="Q392" s="23" t="str">
        <x:v>1 lignes de spawn</x:v>
      </x:c>
      <x:c r="R392" s="23" t="str">
        <x:v>Quand ses yeux brillent d'or, il peut repérer des proies cachées, même derrière un mur.</x:v>
      </x:c>
      <x:c r="S392" s="23" t="str"/>
      <x:c r="T392" s="23" t="str">
        <x:v>https://pixelmonmod.com/wiki/Luxray</x:v>
      </x:c>
    </x:row>
    <x:row r="393" ht="54" customHeight="1">
      <x:c r="A393" s="27" t="n">
        <x:v>406</x:v>
      </x:c>
      <x:c r="B393" s="23" t="str">
        <x:v>Rozbouton</x:v>
      </x:c>
      <x:c r="C393" s="23" t="str">
        <x:v>Budew</x:v>
      </x:c>
      <x:c r="D393" s="23" t="str">
        <x:v>Plante</x:v>
      </x:c>
      <x:c r="E393" s="23" t="str">
        <x:v>Poison</x:v>
      </x:c>
      <x:c r="F393" s="23" t="str">
        <x:v>Non classé</x:v>
      </x:c>
      <x:c r="G393" s="45"/>
      <x:c r="H393" s="45" t="str">
        <x:f>IF(G393="","",ROUNDUP(G393*3,0))</x:f>
      </x:c>
      <x:c r="I393" s="41"/>
      <x:c r="J393" s="42" t="n">
        <x:v>40</x:v>
      </x:c>
      <x:c r="K393" s="42" t="n">
        <x:v>30</x:v>
      </x:c>
      <x:c r="L393" s="42" t="n">
        <x:v>35</x:v>
      </x:c>
      <x:c r="M393" s="42" t="n">
        <x:v>50</x:v>
      </x:c>
      <x:c r="N393" s="42" t="n">
        <x:v>70</x:v>
      </x:c>
      <x:c r="O393" s="42" t="n">
        <x:v>55</x:v>
      </x:c>
      <x:c r="P393" s="43" t="n">
        <x:f>IF(COUNT(J393:O393)=0,"",SUM(J393:O393))</x:f>
        <x:v>280</x:v>
      </x:c>
      <x:c r="Q393" s="23" t="str">
        <x:v>Aucune ligne classée</x:v>
      </x:c>
      <x:c r="R393" s="23" t="str">
        <x:v>Quand il ressent la chaleur du soleil, son bourgeon s'ouvre et libère du pollen. Il vit près des eaux claires.</x:v>
      </x:c>
      <x:c r="S393" s="23" t="str">
        <x:v>Aucune rareté wiki exploitable; prix à fixer.</x:v>
      </x:c>
      <x:c r="T393" s="23" t="str">
        <x:v>https://pixelmonmod.com/wiki/Budew</x:v>
      </x:c>
    </x:row>
    <x:row r="394" ht="54" customHeight="1">
      <x:c r="A394" s="27" t="n">
        <x:v>407</x:v>
      </x:c>
      <x:c r="B394" s="23" t="str">
        <x:v>Roserade</x:v>
      </x:c>
      <x:c r="C394" s="23" t="str">
        <x:v>Roserade</x:v>
      </x:c>
      <x:c r="D394" s="23" t="str">
        <x:v>Plante</x:v>
      </x:c>
      <x:c r="E394" s="23" t="str">
        <x:v>Poison</x:v>
      </x:c>
      <x:c r="F394" s="23" t="str">
        <x:v>Ultra Rare</x:v>
      </x:c>
      <x:c r="G394" s="45" t="n">
        <x:v>75000</x:v>
      </x:c>
      <x:c r="H394" s="45" t="n">
        <x:f>IF(G394="","",ROUNDUP(G394*3,0))</x:f>
        <x:v>225000</x:v>
      </x:c>
      <x:c r="I394" s="41" t="n">
        <x:v>1</x:v>
      </x:c>
      <x:c r="J394" s="42" t="n">
        <x:v>60</x:v>
      </x:c>
      <x:c r="K394" s="42" t="n">
        <x:v>70</x:v>
      </x:c>
      <x:c r="L394" s="42" t="n">
        <x:v>65</x:v>
      </x:c>
      <x:c r="M394" s="42" t="n">
        <x:v>125</x:v>
      </x:c>
      <x:c r="N394" s="42" t="n">
        <x:v>105</x:v>
      </x:c>
      <x:c r="O394" s="42" t="n">
        <x:v>90</x:v>
      </x:c>
      <x:c r="P394" s="43" t="n">
        <x:f>IF(COUNT(J394:O394)=0,"",SUM(J394:O394))</x:f>
        <x:v>515</x:v>
      </x:c>
      <x:c r="Q394" s="23" t="str">
        <x:v>3 lignes de spawn</x:v>
      </x:c>
      <x:c r="R394" s="23" t="str">
        <x:v>Attirant ses proies grâce à un parfum sucré, il utilise les fouets empoisonnés de ses bras pour les empoisonner, les entraver et en finir avec elles.</x:v>
      </x:c>
      <x:c r="S394" s="23" t="str"/>
      <x:c r="T394" s="23" t="str">
        <x:v>https://pixelmonmod.com/wiki/Roserade</x:v>
      </x:c>
    </x:row>
    <x:row r="395" ht="54" customHeight="1">
      <x:c r="A395" s="27" t="n">
        <x:v>408</x:v>
      </x:c>
      <x:c r="B395" s="23" t="str">
        <x:v>Kranidos</x:v>
      </x:c>
      <x:c r="C395" s="23" t="str">
        <x:v>Cranidos</x:v>
      </x:c>
      <x:c r="D395" s="23" t="str">
        <x:v>Roche</x:v>
      </x:c>
      <x:c r="E395" s="23" t="str"/>
      <x:c r="F395" s="23" t="str">
        <x:v>Rare</x:v>
      </x:c>
      <x:c r="G395" s="45" t="n">
        <x:v>12000</x:v>
      </x:c>
      <x:c r="H395" s="45" t="n">
        <x:f>IF(G395="","",ROUNDUP(G395*3,0))</x:f>
        <x:v>36000</x:v>
      </x:c>
      <x:c r="I395" s="41" t="n">
        <x:v>1</x:v>
      </x:c>
      <x:c r="J395" s="42" t="n">
        <x:v>67</x:v>
      </x:c>
      <x:c r="K395" s="42" t="n">
        <x:v>125</x:v>
      </x:c>
      <x:c r="L395" s="42" t="n">
        <x:v>40</x:v>
      </x:c>
      <x:c r="M395" s="42" t="n">
        <x:v>30</x:v>
      </x:c>
      <x:c r="N395" s="42" t="n">
        <x:v>30</x:v>
      </x:c>
      <x:c r="O395" s="42" t="n">
        <x:v>58</x:v>
      </x:c>
      <x:c r="P395" s="43" t="n">
        <x:f>IF(COUNT(J395:O395)=0,"",SUM(J395:O395))</x:f>
        <x:v>350</x:v>
      </x:c>
      <x:c r="Q395" s="23" t="str">
        <x:v>1 lignes de spawn</x:v>
      </x:c>
      <x:c r="R395" s="23" t="str">
        <x:v>Il a été ressuscité à partir d'un fossile évoquant une boule de fer. Il terrasse ses proies à coups de tête.</x:v>
      </x:c>
      <x:c r="S395" s="23" t="str"/>
      <x:c r="T395" s="23" t="str">
        <x:v>https://pixelmonmod.com/wiki/Cranidos</x:v>
      </x:c>
    </x:row>
    <x:row r="396" ht="54" customHeight="1">
      <x:c r="A396" s="27" t="n">
        <x:v>409</x:v>
      </x:c>
      <x:c r="B396" s="23" t="str">
        <x:v>Charkos</x:v>
      </x:c>
      <x:c r="C396" s="23" t="str">
        <x:v>Rampardos</x:v>
      </x:c>
      <x:c r="D396" s="23" t="str">
        <x:v>Roche</x:v>
      </x:c>
      <x:c r="E396" s="23" t="str"/>
      <x:c r="F396" s="23" t="str">
        <x:v>Ultra Rare</x:v>
      </x:c>
      <x:c r="G396" s="45" t="n">
        <x:v>75000</x:v>
      </x:c>
      <x:c r="H396" s="45" t="n">
        <x:f>IF(G396="","",ROUNDUP(G396*3,0))</x:f>
        <x:v>225000</x:v>
      </x:c>
      <x:c r="I396" s="41" t="n">
        <x:v>1</x:v>
      </x:c>
      <x:c r="J396" s="42" t="n">
        <x:v>97</x:v>
      </x:c>
      <x:c r="K396" s="42" t="n">
        <x:v>165</x:v>
      </x:c>
      <x:c r="L396" s="42" t="n">
        <x:v>60</x:v>
      </x:c>
      <x:c r="M396" s="42" t="n">
        <x:v>65</x:v>
      </x:c>
      <x:c r="N396" s="42" t="n">
        <x:v>50</x:v>
      </x:c>
      <x:c r="O396" s="42" t="n">
        <x:v>58</x:v>
      </x:c>
      <x:c r="P396" s="43" t="n">
        <x:f>IF(COUNT(J396:O396)=0,"",SUM(J396:O396))</x:f>
        <x:v>495</x:v>
      </x:c>
      <x:c r="Q396" s="23" t="str">
        <x:v>1 lignes de spawn</x:v>
      </x:c>
      <x:c r="R396" s="23" t="str">
        <x:v>Son crâne résiste à des impacts de n'importe quelle intensité. Par conséquent, son cerveau n'a jamais l'occasion de se développer.</x:v>
      </x:c>
      <x:c r="S396" s="23" t="str"/>
      <x:c r="T396" s="23" t="str">
        <x:v>https://pixelmonmod.com/wiki/Rampardos</x:v>
      </x:c>
    </x:row>
    <x:row r="397" ht="54" customHeight="1">
      <x:c r="A397" s="27" t="n">
        <x:v>410</x:v>
      </x:c>
      <x:c r="B397" s="23" t="str">
        <x:v>Dinoclier</x:v>
      </x:c>
      <x:c r="C397" s="23" t="str">
        <x:v>Shieldon</x:v>
      </x:c>
      <x:c r="D397" s="23" t="str">
        <x:v>Roche</x:v>
      </x:c>
      <x:c r="E397" s="23" t="str">
        <x:v>Acier</x:v>
      </x:c>
      <x:c r="F397" s="23" t="str">
        <x:v>Rare</x:v>
      </x:c>
      <x:c r="G397" s="45" t="n">
        <x:v>12000</x:v>
      </x:c>
      <x:c r="H397" s="45" t="n">
        <x:f>IF(G397="","",ROUNDUP(G397*3,0))</x:f>
        <x:v>36000</x:v>
      </x:c>
      <x:c r="I397" s="41" t="n">
        <x:v>1</x:v>
      </x:c>
      <x:c r="J397" s="42" t="n">
        <x:v>30</x:v>
      </x:c>
      <x:c r="K397" s="42" t="n">
        <x:v>42</x:v>
      </x:c>
      <x:c r="L397" s="42" t="n">
        <x:v>118</x:v>
      </x:c>
      <x:c r="M397" s="42" t="n">
        <x:v>42</x:v>
      </x:c>
      <x:c r="N397" s="42" t="n">
        <x:v>88</x:v>
      </x:c>
      <x:c r="O397" s="42" t="n">
        <x:v>30</x:v>
      </x:c>
      <x:c r="P397" s="43" t="n">
        <x:f>IF(COUNT(J397:O397)=0,"",SUM(J397:O397))</x:f>
        <x:v>350</x:v>
      </x:c>
      <x:c r="Q397" s="23" t="str">
        <x:v>1 lignes de spawn</x:v>
      </x:c>
      <x:c r="R397" s="23" t="str">
        <x:v>Il se frotte régulièrement le visage contre les troncs d'arbres pour le polir. Il est vulnérable aux attaques venant de derrière.</x:v>
      </x:c>
      <x:c r="S397" s="23" t="str"/>
      <x:c r="T397" s="23" t="str">
        <x:v>https://pixelmonmod.com/wiki/Shieldon</x:v>
      </x:c>
    </x:row>
    <x:row r="398" ht="54" customHeight="1">
      <x:c r="A398" s="27" t="n">
        <x:v>411</x:v>
      </x:c>
      <x:c r="B398" s="23" t="str">
        <x:v>Bastiodon</x:v>
      </x:c>
      <x:c r="C398" s="23" t="str">
        <x:v>Bastiodon</x:v>
      </x:c>
      <x:c r="D398" s="23" t="str">
        <x:v>Roche</x:v>
      </x:c>
      <x:c r="E398" s="23" t="str">
        <x:v>Acier</x:v>
      </x:c>
      <x:c r="F398" s="23" t="str">
        <x:v>Ultra Rare</x:v>
      </x:c>
      <x:c r="G398" s="45" t="n">
        <x:v>75000</x:v>
      </x:c>
      <x:c r="H398" s="45" t="n">
        <x:f>IF(G398="","",ROUNDUP(G398*3,0))</x:f>
        <x:v>225000</x:v>
      </x:c>
      <x:c r="I398" s="41" t="n">
        <x:v>1</x:v>
      </x:c>
      <x:c r="J398" s="42" t="n">
        <x:v>60</x:v>
      </x:c>
      <x:c r="K398" s="42" t="n">
        <x:v>52</x:v>
      </x:c>
      <x:c r="L398" s="42" t="n">
        <x:v>168</x:v>
      </x:c>
      <x:c r="M398" s="42" t="n">
        <x:v>47</x:v>
      </x:c>
      <x:c r="N398" s="42" t="n">
        <x:v>138</x:v>
      </x:c>
      <x:c r="O398" s="42" t="n">
        <x:v>30</x:v>
      </x:c>
      <x:c r="P398" s="43" t="n">
        <x:f>IF(COUNT(J398:O398)=0,"",SUM(J398:O398))</x:f>
        <x:v>495</x:v>
      </x:c>
      <x:c r="Q398" s="23" t="str">
        <x:v>1 lignes de spawn</x:v>
      </x:c>
      <x:c r="R398" s="23" t="str">
        <x:v>Lorsqu'ils se mettaient côte à côte, aucun adversaire ne pouvait percer leur défense. Ils protégeaient ainsi leurs petits.</x:v>
      </x:c>
      <x:c r="S398" s="23" t="str"/>
      <x:c r="T398" s="23" t="str">
        <x:v>https://pixelmonmod.com/wiki/Bastiodon</x:v>
      </x:c>
    </x:row>
    <x:row r="399" ht="54" customHeight="1">
      <x:c r="A399" s="27" t="n">
        <x:v>412</x:v>
      </x:c>
      <x:c r="B399" s="23" t="str">
        <x:v>Cheniti</x:v>
      </x:c>
      <x:c r="C399" s="23" t="str">
        <x:v>Burmy</x:v>
      </x:c>
      <x:c r="D399" s="23" t="str">
        <x:v>Insecte</x:v>
      </x:c>
      <x:c r="E399" s="23" t="str"/>
      <x:c r="F399" s="23" t="str">
        <x:v>Uncommon / Very Rare</x:v>
      </x:c>
      <x:c r="G399" s="45" t="n">
        <x:v>30000</x:v>
      </x:c>
      <x:c r="H399" s="45" t="n">
        <x:f>IF(G399="","",ROUNDUP(G399*3,0))</x:f>
        <x:v>90000</x:v>
      </x:c>
      <x:c r="I399" s="41" t="n">
        <x:v>0.5</x:v>
      </x:c>
      <x:c r="J399" s="42" t="n">
        <x:v>40</x:v>
      </x:c>
      <x:c r="K399" s="42" t="n">
        <x:v>29</x:v>
      </x:c>
      <x:c r="L399" s="42" t="n">
        <x:v>45</x:v>
      </x:c>
      <x:c r="M399" s="42" t="n">
        <x:v>29</x:v>
      </x:c>
      <x:c r="N399" s="42" t="n">
        <x:v>45</x:v>
      </x:c>
      <x:c r="O399" s="42" t="n">
        <x:v>36</x:v>
      </x:c>
      <x:c r="P399" s="43" t="n">
        <x:f>IF(COUNT(J399:O399)=0,"",SUM(J399:O399))</x:f>
        <x:v>224</x:v>
      </x:c>
      <x:c r="Q399" s="23" t="str">
        <x:v>4 lignes de spawn</x:v>
      </x:c>
      <x:c r="R399" s="23" t="str">
        <x:v>Pour se protéger du vent glacial, il se couvre d'un manteau de brindilles et de feuilles.</x:v>
      </x:c>
      <x:c r="S399" s="23" t="str">
        <x:v>Égalité de fréquence; prix provisoire basé sur le palier le plus élevé. Very Rare aligné sur le palier Super Rare (provisoire).</x:v>
      </x:c>
      <x:c r="T399" s="23" t="str">
        <x:v>https://pixelmonmod.com/wiki/Burmy</x:v>
      </x:c>
    </x:row>
    <x:row r="400" ht="54" customHeight="1">
      <x:c r="A400" s="27" t="n">
        <x:v>413</x:v>
      </x:c>
      <x:c r="B400" s="23" t="str">
        <x:v>Cheniselle</x:v>
      </x:c>
      <x:c r="C400" s="23" t="str">
        <x:v>Wormadam</x:v>
      </x:c>
      <x:c r="D400" s="23" t="str">
        <x:v>Insecte</x:v>
      </x:c>
      <x:c r="E400" s="23" t="str">
        <x:v>Plante</x:v>
      </x:c>
      <x:c r="F400" s="23" t="str">
        <x:v>Very Rare / Ultra Rare</x:v>
      </x:c>
      <x:c r="G400" s="45" t="n">
        <x:v>75000</x:v>
      </x:c>
      <x:c r="H400" s="45" t="n">
        <x:f>IF(G400="","",ROUNDUP(G400*3,0))</x:f>
        <x:v>225000</x:v>
      </x:c>
      <x:c r="I400" s="41" t="n">
        <x:v>0.5</x:v>
      </x:c>
      <x:c r="J400" s="42" t="n">
        <x:v>60</x:v>
      </x:c>
      <x:c r="K400" s="42" t="n">
        <x:v>59</x:v>
      </x:c>
      <x:c r="L400" s="42" t="n">
        <x:v>85</x:v>
      </x:c>
      <x:c r="M400" s="42" t="n">
        <x:v>79</x:v>
      </x:c>
      <x:c r="N400" s="42" t="n">
        <x:v>105</x:v>
      </x:c>
      <x:c r="O400" s="42" t="n">
        <x:v>36</x:v>
      </x:c>
      <x:c r="P400" s="43" t="n">
        <x:f>IF(COUNT(J400:O400)=0,"",SUM(J400:O400))</x:f>
        <x:v>424</x:v>
      </x:c>
      <x:c r="Q400" s="23" t="str">
        <x:v>12 lignes de spawn</x:v>
      </x:c>
      <x:c r="R400" s="23" t="str">
        <x:v>Son apparence change en fonction de l'endroit où il a évolué. Les matériaux disponibles deviennent partie intégrante de son corps.</x:v>
      </x:c>
      <x:c r="S400" s="23" t="str">
        <x:v>Égalité de fréquence; prix provisoire basé sur le palier le plus élevé. Very Rare aligné sur le palier Super Rare (provisoire).</x:v>
      </x:c>
      <x:c r="T400" s="23" t="str">
        <x:v>https://pixelmonmod.com/wiki/Wormadam</x:v>
      </x:c>
    </x:row>
    <x:row r="401" ht="54" customHeight="1">
      <x:c r="A401" s="27" t="n">
        <x:v>414</x:v>
      </x:c>
      <x:c r="B401" s="23" t="str">
        <x:v>Papilord</x:v>
      </x:c>
      <x:c r="C401" s="23" t="str">
        <x:v>Mothim</x:v>
      </x:c>
      <x:c r="D401" s="23" t="str">
        <x:v>Insecte</x:v>
      </x:c>
      <x:c r="E401" s="23" t="str">
        <x:v>Vol</x:v>
      </x:c>
      <x:c r="F401" s="23" t="str">
        <x:v>Ultra Rare</x:v>
      </x:c>
      <x:c r="G401" s="45" t="n">
        <x:v>75000</x:v>
      </x:c>
      <x:c r="H401" s="45" t="n">
        <x:f>IF(G401="","",ROUNDUP(G401*3,0))</x:f>
        <x:v>225000</x:v>
      </x:c>
      <x:c r="I401" s="41" t="n">
        <x:v>0.667</x:v>
      </x:c>
      <x:c r="J401" s="42" t="n">
        <x:v>70</x:v>
      </x:c>
      <x:c r="K401" s="42" t="n">
        <x:v>94</x:v>
      </x:c>
      <x:c r="L401" s="42" t="n">
        <x:v>50</x:v>
      </x:c>
      <x:c r="M401" s="42" t="n">
        <x:v>94</x:v>
      </x:c>
      <x:c r="N401" s="42" t="n">
        <x:v>50</x:v>
      </x:c>
      <x:c r="O401" s="42" t="n">
        <x:v>66</x:v>
      </x:c>
      <x:c r="P401" s="43" t="n">
        <x:f>IF(COUNT(J401:O401)=0,"",SUM(J401:O401))</x:f>
        <x:v>424</x:v>
      </x:c>
      <x:c r="Q401" s="23" t="str">
        <x:v>6 lignes de spawn</x:v>
      </x:c>
      <x:c r="R401" s="23" t="str">
        <x:v>Il adore le miel des fleurs et dérobe celui que les Apitrini ont collecté.</x:v>
      </x:c>
      <x:c r="S401" s="23" t="str"/>
      <x:c r="T401" s="23" t="str">
        <x:v>https://pixelmonmod.com/wiki/Mothim</x:v>
      </x:c>
    </x:row>
    <x:row r="402" ht="54" customHeight="1">
      <x:c r="A402" s="27" t="n">
        <x:v>415</x:v>
      </x:c>
      <x:c r="B402" s="23" t="str">
        <x:v>Apitrini</x:v>
      </x:c>
      <x:c r="C402" s="23" t="str">
        <x:v>Combee</x:v>
      </x:c>
      <x:c r="D402" s="23" t="str">
        <x:v>Insecte</x:v>
      </x:c>
      <x:c r="E402" s="23" t="str">
        <x:v>Vol</x:v>
      </x:c>
      <x:c r="F402" s="23" t="str">
        <x:v>Uncommon</x:v>
      </x:c>
      <x:c r="G402" s="45" t="n">
        <x:v>5000</x:v>
      </x:c>
      <x:c r="H402" s="45" t="n">
        <x:f>IF(G402="","",ROUNDUP(G402*3,0))</x:f>
        <x:v>15000</x:v>
      </x:c>
      <x:c r="I402" s="41" t="n">
        <x:v>1</x:v>
      </x:c>
      <x:c r="J402" s="42" t="n">
        <x:v>30</x:v>
      </x:c>
      <x:c r="K402" s="42" t="n">
        <x:v>30</x:v>
      </x:c>
      <x:c r="L402" s="42" t="n">
        <x:v>42</x:v>
      </x:c>
      <x:c r="M402" s="42" t="n">
        <x:v>30</x:v>
      </x:c>
      <x:c r="N402" s="42" t="n">
        <x:v>42</x:v>
      </x:c>
      <x:c r="O402" s="42" t="n">
        <x:v>70</x:v>
      </x:c>
      <x:c r="P402" s="43" t="n">
        <x:f>IF(COUNT(J402:O402)=0,"",SUM(J402:O402))</x:f>
        <x:v>244</x:v>
      </x:c>
      <x:c r="Q402" s="23" t="str">
        <x:v>3 lignes de spawn</x:v>
      </x:c>
      <x:c r="R402" s="23" t="str">
        <x:v>Le trio reste uni depuis la naissance. Il récolte sans cesse du miel pour plaire à Apireine.</x:v>
      </x:c>
      <x:c r="S402" s="23" t="str"/>
      <x:c r="T402" s="23" t="str">
        <x:v>https://pixelmonmod.com/wiki/Combee</x:v>
      </x:c>
    </x:row>
    <x:row r="403" ht="54" customHeight="1">
      <x:c r="A403" s="27" t="n">
        <x:v>416</x:v>
      </x:c>
      <x:c r="B403" s="23" t="str">
        <x:v>Apireine</x:v>
      </x:c>
      <x:c r="C403" s="23" t="str">
        <x:v>Vespiquen</x:v>
      </x:c>
      <x:c r="D403" s="23" t="str">
        <x:v>Insecte</x:v>
      </x:c>
      <x:c r="E403" s="23" t="str">
        <x:v>Vol</x:v>
      </x:c>
      <x:c r="F403" s="23" t="str">
        <x:v>Ultra Rare</x:v>
      </x:c>
      <x:c r="G403" s="45" t="n">
        <x:v>75000</x:v>
      </x:c>
      <x:c r="H403" s="45" t="n">
        <x:f>IF(G403="","",ROUNDUP(G403*3,0))</x:f>
        <x:v>225000</x:v>
      </x:c>
      <x:c r="I403" s="41" t="n">
        <x:v>1</x:v>
      </x:c>
      <x:c r="J403" s="42" t="n">
        <x:v>70</x:v>
      </x:c>
      <x:c r="K403" s="42" t="n">
        <x:v>80</x:v>
      </x:c>
      <x:c r="L403" s="42" t="n">
        <x:v>102</x:v>
      </x:c>
      <x:c r="M403" s="42" t="n">
        <x:v>80</x:v>
      </x:c>
      <x:c r="N403" s="42" t="n">
        <x:v>102</x:v>
      </x:c>
      <x:c r="O403" s="42" t="n">
        <x:v>40</x:v>
      </x:c>
      <x:c r="P403" s="43" t="n">
        <x:f>IF(COUNT(J403:O403)=0,"",SUM(J403:O403))</x:f>
        <x:v>474</x:v>
      </x:c>
      <x:c r="Q403" s="23" t="str">
        <x:v>3 lignes de spawn</x:v>
      </x:c>
      <x:c r="R403" s="23" t="str">
        <x:v>Elle abrite sa colonie dans des alvéoles situées dans son corps et libère divers phéromones pour donner des ordres aux larves.</x:v>
      </x:c>
      <x:c r="S403" s="23" t="str"/>
      <x:c r="T403" s="23" t="str">
        <x:v>https://pixelmonmod.com/wiki/Vespiquen</x:v>
      </x:c>
    </x:row>
    <x:row r="404" ht="54" customHeight="1">
      <x:c r="A404" s="27" t="n">
        <x:v>417</x:v>
      </x:c>
      <x:c r="B404" s="23" t="str">
        <x:v>Pachirisu</x:v>
      </x:c>
      <x:c r="C404" s="23" t="str">
        <x:v>Pachirisu</x:v>
      </x:c>
      <x:c r="D404" s="23" t="str">
        <x:v>Électrik</x:v>
      </x:c>
      <x:c r="E404" s="23" t="str"/>
      <x:c r="F404" s="23" t="str">
        <x:v>Common / Uncommon</x:v>
      </x:c>
      <x:c r="G404" s="45" t="n">
        <x:v>5000</x:v>
      </x:c>
      <x:c r="H404" s="45" t="n">
        <x:f>IF(G404="","",ROUNDUP(G404*3,0))</x:f>
        <x:v>15000</x:v>
      </x:c>
      <x:c r="I404" s="41" t="n">
        <x:v>0.5</x:v>
      </x:c>
      <x:c r="J404" s="42" t="n">
        <x:v>60</x:v>
      </x:c>
      <x:c r="K404" s="42" t="n">
        <x:v>45</x:v>
      </x:c>
      <x:c r="L404" s="42" t="n">
        <x:v>70</x:v>
      </x:c>
      <x:c r="M404" s="42" t="n">
        <x:v>45</x:v>
      </x:c>
      <x:c r="N404" s="42" t="n">
        <x:v>90</x:v>
      </x:c>
      <x:c r="O404" s="42" t="n">
        <x:v>95</x:v>
      </x:c>
      <x:c r="P404" s="43" t="n">
        <x:f>IF(COUNT(J404:O404)=0,"",SUM(J404:O404))</x:f>
        <x:v>405</x:v>
      </x:c>
      <x:c r="Q404" s="23" t="str">
        <x:v>6 lignes de spawn</x:v>
      </x:c>
      <x:c r="R404" s="23" t="str">
        <x:v>Il fabrique des boules de poils chargées d'électricité statique. Il les stocke avec des Baies dans des trous d'arbres.</x:v>
      </x:c>
      <x:c r="S404" s="23" t="str">
        <x:v>Égalité de fréquence; prix provisoire basé sur le palier le plus élevé.</x:v>
      </x:c>
      <x:c r="T404" s="23" t="str">
        <x:v>https://pixelmonmod.com/wiki/Pachirisu</x:v>
      </x:c>
    </x:row>
    <x:row r="405" ht="54" customHeight="1">
      <x:c r="A405" s="27" t="n">
        <x:v>418</x:v>
      </x:c>
      <x:c r="B405" s="23" t="str">
        <x:v>Mustébouée</x:v>
      </x:c>
      <x:c r="C405" s="23" t="str">
        <x:v>Buizel</x:v>
      </x:c>
      <x:c r="D405" s="23" t="str">
        <x:v>Eau</x:v>
      </x:c>
      <x:c r="E405" s="23" t="str"/>
      <x:c r="F405" s="23" t="str">
        <x:v>Uncommon / Rare</x:v>
      </x:c>
      <x:c r="G405" s="45" t="n">
        <x:v>12000</x:v>
      </x:c>
      <x:c r="H405" s="45" t="n">
        <x:f>IF(G405="","",ROUNDUP(G405*3,0))</x:f>
        <x:v>36000</x:v>
      </x:c>
      <x:c r="I405" s="41" t="n">
        <x:v>0.5</x:v>
      </x:c>
      <x:c r="J405" s="42" t="n">
        <x:v>55</x:v>
      </x:c>
      <x:c r="K405" s="42" t="n">
        <x:v>65</x:v>
      </x:c>
      <x:c r="L405" s="42" t="n">
        <x:v>35</x:v>
      </x:c>
      <x:c r="M405" s="42" t="n">
        <x:v>60</x:v>
      </x:c>
      <x:c r="N405" s="42" t="n">
        <x:v>30</x:v>
      </x:c>
      <x:c r="O405" s="42" t="n">
        <x:v>85</x:v>
      </x:c>
      <x:c r="P405" s="43" t="n">
        <x:f>IF(COUNT(J405:O405)=0,"",SUM(J405:O405))</x:f>
        <x:v>330</x:v>
      </x:c>
      <x:c r="Q405" s="23" t="str">
        <x:v>10 lignes de spawn</x:v>
      </x:c>
      <x:c r="R405" s="23" t="str">
        <x:v>Il nage en faisant tourner ses deux queues comme une hélice. Quand il plonge, sa poche flottante se dégonfle.</x:v>
      </x:c>
      <x:c r="S405" s="23" t="str">
        <x:v>Égalité de fréquence; prix provisoire basé sur le palier le plus élevé.</x:v>
      </x:c>
      <x:c r="T405" s="23" t="str">
        <x:v>https://pixelmonmod.com/wiki/Buizel</x:v>
      </x:c>
    </x:row>
    <x:row r="406" ht="54" customHeight="1">
      <x:c r="A406" s="27" t="n">
        <x:v>419</x:v>
      </x:c>
      <x:c r="B406" s="23" t="str">
        <x:v>Mustéflott</x:v>
      </x:c>
      <x:c r="C406" s="23" t="str">
        <x:v>Floatzel</x:v>
      </x:c>
      <x:c r="D406" s="23" t="str">
        <x:v>Eau</x:v>
      </x:c>
      <x:c r="E406" s="23" t="str"/>
      <x:c r="F406" s="23" t="str">
        <x:v>Ultra Rare</x:v>
      </x:c>
      <x:c r="G406" s="45" t="n">
        <x:v>75000</x:v>
      </x:c>
      <x:c r="H406" s="45" t="n">
        <x:f>IF(G406="","",ROUNDUP(G406*3,0))</x:f>
        <x:v>225000</x:v>
      </x:c>
      <x:c r="I406" s="41" t="n">
        <x:v>0.647</x:v>
      </x:c>
      <x:c r="J406" s="42" t="n">
        <x:v>85</x:v>
      </x:c>
      <x:c r="K406" s="42" t="n">
        <x:v>105</x:v>
      </x:c>
      <x:c r="L406" s="42" t="n">
        <x:v>55</x:v>
      </x:c>
      <x:c r="M406" s="42" t="n">
        <x:v>85</x:v>
      </x:c>
      <x:c r="N406" s="42" t="n">
        <x:v>50</x:v>
      </x:c>
      <x:c r="O406" s="42" t="n">
        <x:v>115</x:v>
      </x:c>
      <x:c r="P406" s="43" t="n">
        <x:f>IF(COUNT(J406:O406)=0,"",SUM(J406:O406))</x:f>
        <x:v>495</x:v>
      </x:c>
      <x:c r="Q406" s="23" t="str">
        <x:v>17 lignes de spawn</x:v>
      </x:c>
      <x:c r="R406" s="23" t="str">
        <x:v>Il flotte grâce à sa poche de flottabilité développée. Il aide aux sauvetages de personnes en train de se noyer.</x:v>
      </x:c>
      <x:c r="S406" s="23" t="str"/>
      <x:c r="T406" s="23" t="str">
        <x:v>https://pixelmonmod.com/wiki/Floatzel</x:v>
      </x:c>
    </x:row>
    <x:row r="407" ht="54" customHeight="1">
      <x:c r="A407" s="27" t="n">
        <x:v>420</x:v>
      </x:c>
      <x:c r="B407" s="23" t="str">
        <x:v>Ceribou</x:v>
      </x:c>
      <x:c r="C407" s="23" t="str">
        <x:v>Cherubi</x:v>
      </x:c>
      <x:c r="D407" s="23" t="str">
        <x:v>Plante</x:v>
      </x:c>
      <x:c r="E407" s="23" t="str"/>
      <x:c r="F407" s="23" t="str">
        <x:v>Uncommon / Rare</x:v>
      </x:c>
      <x:c r="G407" s="45" t="n">
        <x:v>12000</x:v>
      </x:c>
      <x:c r="H407" s="45" t="n">
        <x:f>IF(G407="","",ROUNDUP(G407*3,0))</x:f>
        <x:v>36000</x:v>
      </x:c>
      <x:c r="I407" s="41" t="n">
        <x:v>0.5</x:v>
      </x:c>
      <x:c r="J407" s="42" t="n">
        <x:v>45</x:v>
      </x:c>
      <x:c r="K407" s="42" t="n">
        <x:v>35</x:v>
      </x:c>
      <x:c r="L407" s="42" t="n">
        <x:v>45</x:v>
      </x:c>
      <x:c r="M407" s="42" t="n">
        <x:v>62</x:v>
      </x:c>
      <x:c r="N407" s="42" t="n">
        <x:v>53</x:v>
      </x:c>
      <x:c r="O407" s="42" t="n">
        <x:v>35</x:v>
      </x:c>
      <x:c r="P407" s="43" t="n">
        <x:f>IF(COUNT(J407:O407)=0,"",SUM(J407:O407))</x:f>
        <x:v>275</x:v>
      </x:c>
      <x:c r="Q407" s="23" t="str">
        <x:v>6 lignes de spawn</x:v>
      </x:c>
      <x:c r="R407" s="23" t="str">
        <x:v>La lumière du soleil le teinte en rouge. Lorsque la petite boule est entièrement dépourvue de nutriments, elle se flétrit, annonçant l'évolution imminente.</x:v>
      </x:c>
      <x:c r="S407" s="23" t="str">
        <x:v>Égalité de fréquence; prix provisoire basé sur le palier le plus élevé.</x:v>
      </x:c>
      <x:c r="T407" s="23" t="str">
        <x:v>https://pixelmonmod.com/wiki/Cherubi</x:v>
      </x:c>
    </x:row>
    <x:row r="408" ht="54" customHeight="1">
      <x:c r="A408" s="27" t="n">
        <x:v>421</x:v>
      </x:c>
      <x:c r="B408" s="23" t="str">
        <x:v>Ceriflor</x:v>
      </x:c>
      <x:c r="C408" s="23" t="str">
        <x:v>Cherrim</x:v>
      </x:c>
      <x:c r="D408" s="23" t="str">
        <x:v>Plante</x:v>
      </x:c>
      <x:c r="E408" s="23" t="str"/>
      <x:c r="F408" s="23" t="str">
        <x:v>Ultra Rare</x:v>
      </x:c>
      <x:c r="G408" s="45" t="n">
        <x:v>75000</x:v>
      </x:c>
      <x:c r="H408" s="45" t="n">
        <x:f>IF(G408="","",ROUNDUP(G408*3,0))</x:f>
        <x:v>225000</x:v>
      </x:c>
      <x:c r="I408" s="41" t="n">
        <x:v>1</x:v>
      </x:c>
      <x:c r="J408" s="42" t="n">
        <x:v>70</x:v>
      </x:c>
      <x:c r="K408" s="42" t="n">
        <x:v>60</x:v>
      </x:c>
      <x:c r="L408" s="42" t="n">
        <x:v>70</x:v>
      </x:c>
      <x:c r="M408" s="42" t="n">
        <x:v>87</x:v>
      </x:c>
      <x:c r="N408" s="42" t="n">
        <x:v>78</x:v>
      </x:c>
      <x:c r="O408" s="42" t="n">
        <x:v>85</x:v>
      </x:c>
      <x:c r="P408" s="43" t="n">
        <x:f>IF(COUNT(J408:O408)=0,"",SUM(J408:O408))</x:f>
        <x:v>450</x:v>
      </x:c>
      <x:c r="Q408" s="23" t="str">
        <x:v>6 lignes de spawn</x:v>
      </x:c>
      <x:c r="R408" s="23" t="str">
        <x:v>Sous un ensoleillement intense, son bourgeon éclot, ses pétales s'ouvrent complètement et il devient très actif.</x:v>
      </x:c>
      <x:c r="S408" s="23" t="str"/>
      <x:c r="T408" s="23" t="str">
        <x:v>https://pixelmonmod.com/wiki/Cherrim</x:v>
      </x:c>
    </x:row>
    <x:row r="409" ht="54" customHeight="1">
      <x:c r="A409" s="27" t="n">
        <x:v>422</x:v>
      </x:c>
      <x:c r="B409" s="23" t="str">
        <x:v>Sancoki</x:v>
      </x:c>
      <x:c r="C409" s="23" t="str">
        <x:v>Shellos</x:v>
      </x:c>
      <x:c r="D409" s="23" t="str">
        <x:v>Eau</x:v>
      </x:c>
      <x:c r="E409" s="23" t="str"/>
      <x:c r="F409" s="23" t="str">
        <x:v>Uncommon</x:v>
      </x:c>
      <x:c r="G409" s="45" t="n">
        <x:v>5000</x:v>
      </x:c>
      <x:c r="H409" s="45" t="n">
        <x:f>IF(G409="","",ROUNDUP(G409*3,0))</x:f>
        <x:v>15000</x:v>
      </x:c>
      <x:c r="I409" s="41" t="n">
        <x:v>1</x:v>
      </x:c>
      <x:c r="J409" s="42" t="n">
        <x:v>76</x:v>
      </x:c>
      <x:c r="K409" s="42" t="n">
        <x:v>48</x:v>
      </x:c>
      <x:c r="L409" s="42" t="n">
        <x:v>48</x:v>
      </x:c>
      <x:c r="M409" s="42" t="n">
        <x:v>57</x:v>
      </x:c>
      <x:c r="N409" s="42" t="n">
        <x:v>62</x:v>
      </x:c>
      <x:c r="O409" s="42" t="n">
        <x:v>34</x:v>
      </x:c>
      <x:c r="P409" s="43" t="n">
        <x:f>IF(COUNT(J409:O409)=0,"",SUM(J409:O409))</x:f>
        <x:v>325</x:v>
      </x:c>
      <x:c r="Q409" s="23" t="str">
        <x:v>6 lignes de spawn</x:v>
      </x:c>
      <x:c r="R409" s="23" t="str">
        <x:v>Si l'on appuie trop fort sur son corps spongieux, un mystérieux liquide violet s'en écoule.</x:v>
      </x:c>
      <x:c r="S409" s="23" t="str"/>
      <x:c r="T409" s="23" t="str">
        <x:v>https://pixelmonmod.com/wiki/Shellos</x:v>
      </x:c>
    </x:row>
    <x:row r="410" ht="54" customHeight="1">
      <x:c r="A410" s="27" t="n">
        <x:v>423</x:v>
      </x:c>
      <x:c r="B410" s="23" t="str">
        <x:v>Tritosor</x:v>
      </x:c>
      <x:c r="C410" s="23" t="str">
        <x:v>Gastrodon</x:v>
      </x:c>
      <x:c r="D410" s="23" t="str">
        <x:v>Eau</x:v>
      </x:c>
      <x:c r="E410" s="23" t="str">
        <x:v>Sol</x:v>
      </x:c>
      <x:c r="F410" s="23" t="str">
        <x:v>Very Rare</x:v>
      </x:c>
      <x:c r="G410" s="45" t="n">
        <x:v>30000</x:v>
      </x:c>
      <x:c r="H410" s="45" t="n">
        <x:f>IF(G410="","",ROUNDUP(G410*3,0))</x:f>
        <x:v>90000</x:v>
      </x:c>
      <x:c r="I410" s="41" t="n">
        <x:v>0.5</x:v>
      </x:c>
      <x:c r="J410" s="42" t="n">
        <x:v>111</x:v>
      </x:c>
      <x:c r="K410" s="42" t="n">
        <x:v>83</x:v>
      </x:c>
      <x:c r="L410" s="42" t="n">
        <x:v>68</x:v>
      </x:c>
      <x:c r="M410" s="42" t="n">
        <x:v>92</x:v>
      </x:c>
      <x:c r="N410" s="42" t="n">
        <x:v>82</x:v>
      </x:c>
      <x:c r="O410" s="42" t="n">
        <x:v>39</x:v>
      </x:c>
      <x:c r="P410" s="43" t="n">
        <x:f>IF(COUNT(J410:O410)=0,"",SUM(J410:O410))</x:f>
        <x:v>475</x:v>
      </x:c>
      <x:c r="Q410" s="23" t="str">
        <x:v>8 lignes de spawn</x:v>
      </x:c>
      <x:c r="R410" s="23" t="str">
        <x:v>Quand son ennemi naturel l'attaque, il sécrète un fluide violet et s'enfuit.</x:v>
      </x:c>
      <x:c r="S410" s="23" t="str">
        <x:v>Very Rare aligné sur le palier Super Rare (provisoire).</x:v>
      </x:c>
      <x:c r="T410" s="23" t="str">
        <x:v>https://pixelmonmod.com/wiki/Gastrodon</x:v>
      </x:c>
    </x:row>
    <x:row r="411" ht="54" customHeight="1">
      <x:c r="A411" s="27" t="n">
        <x:v>424</x:v>
      </x:c>
      <x:c r="B411" s="23" t="str">
        <x:v>Capidextre</x:v>
      </x:c>
      <x:c r="C411" s="23" t="str">
        <x:v>Ambipom</x:v>
      </x:c>
      <x:c r="D411" s="23" t="str">
        <x:v>Normal</x:v>
      </x:c>
      <x:c r="E411" s="23" t="str"/>
      <x:c r="F411" s="23" t="str">
        <x:v>Very Rare</x:v>
      </x:c>
      <x:c r="G411" s="45" t="n">
        <x:v>30000</x:v>
      </x:c>
      <x:c r="H411" s="45" t="n">
        <x:f>IF(G411="","",ROUNDUP(G411*3,0))</x:f>
        <x:v>90000</x:v>
      </x:c>
      <x:c r="I411" s="41" t="n">
        <x:v>0.667</x:v>
      </x:c>
      <x:c r="J411" s="42" t="n">
        <x:v>75</x:v>
      </x:c>
      <x:c r="K411" s="42" t="n">
        <x:v>100</x:v>
      </x:c>
      <x:c r="L411" s="42" t="n">
        <x:v>66</x:v>
      </x:c>
      <x:c r="M411" s="42" t="n">
        <x:v>60</x:v>
      </x:c>
      <x:c r="N411" s="42" t="n">
        <x:v>66</x:v>
      </x:c>
      <x:c r="O411" s="42" t="n">
        <x:v>115</x:v>
      </x:c>
      <x:c r="P411" s="43" t="n">
        <x:f>IF(COUNT(J411:O411)=0,"",SUM(J411:O411))</x:f>
        <x:v>482</x:v>
      </x:c>
      <x:c r="Q411" s="23" t="str">
        <x:v>6 lignes de spawn</x:v>
      </x:c>
      <x:c r="R411" s="23" t="str">
        <x:v>Ils vivent en grandes colonies et forment des anneaux en entrelaçant leurs queues, apparemment par amitié.</x:v>
      </x:c>
      <x:c r="S411" s="23" t="str">
        <x:v>Very Rare aligné sur le palier Super Rare (provisoire).</x:v>
      </x:c>
      <x:c r="T411" s="23" t="str">
        <x:v>https://pixelmonmod.com/wiki/Ambipom</x:v>
      </x:c>
    </x:row>
    <x:row r="412" ht="54" customHeight="1">
      <x:c r="A412" s="27" t="n">
        <x:v>425</x:v>
      </x:c>
      <x:c r="B412" s="23" t="str">
        <x:v>Baudrive</x:v>
      </x:c>
      <x:c r="C412" s="23" t="str">
        <x:v>Drifloon</x:v>
      </x:c>
      <x:c r="D412" s="23" t="str">
        <x:v>Spectre</x:v>
      </x:c>
      <x:c r="E412" s="23" t="str">
        <x:v>Vol</x:v>
      </x:c>
      <x:c r="F412" s="23" t="str">
        <x:v>Uncommon</x:v>
      </x:c>
      <x:c r="G412" s="45" t="n">
        <x:v>5000</x:v>
      </x:c>
      <x:c r="H412" s="45" t="n">
        <x:f>IF(G412="","",ROUNDUP(G412*3,0))</x:f>
        <x:v>15000</x:v>
      </x:c>
      <x:c r="I412" s="41" t="n">
        <x:v>1</x:v>
      </x:c>
      <x:c r="J412" s="42" t="n">
        <x:v>90</x:v>
      </x:c>
      <x:c r="K412" s="42" t="n">
        <x:v>50</x:v>
      </x:c>
      <x:c r="L412" s="42" t="n">
        <x:v>34</x:v>
      </x:c>
      <x:c r="M412" s="42" t="n">
        <x:v>60</x:v>
      </x:c>
      <x:c r="N412" s="42" t="n">
        <x:v>44</x:v>
      </x:c>
      <x:c r="O412" s="42" t="n">
        <x:v>70</x:v>
      </x:c>
      <x:c r="P412" s="43" t="n">
        <x:f>IF(COUNT(J412:O412)=0,"",SUM(J412:O412))</x:f>
        <x:v>348</x:v>
      </x:c>
      <x:c r="Q412" s="23" t="str">
        <x:v>3 lignes de spawn</x:v>
      </x:c>
      <x:c r="R412" s="23" t="str">
        <x:v>Un Pokémon né des esprits de personnes et de Pokémon. Il adore les saisons humides.</x:v>
      </x:c>
      <x:c r="S412" s="23" t="str"/>
      <x:c r="T412" s="23" t="str">
        <x:v>https://pixelmonmod.com/wiki/Drifloon</x:v>
      </x:c>
    </x:row>
    <x:row r="413" ht="54" customHeight="1">
      <x:c r="A413" s="27" t="n">
        <x:v>426</x:v>
      </x:c>
      <x:c r="B413" s="23" t="str">
        <x:v>Grodrive</x:v>
      </x:c>
      <x:c r="C413" s="23" t="str">
        <x:v>Drifblim</x:v>
      </x:c>
      <x:c r="D413" s="23" t="str">
        <x:v>Spectre</x:v>
      </x:c>
      <x:c r="E413" s="23" t="str">
        <x:v>Vol</x:v>
      </x:c>
      <x:c r="F413" s="23" t="str">
        <x:v>Ultra Rare</x:v>
      </x:c>
      <x:c r="G413" s="45" t="n">
        <x:v>75000</x:v>
      </x:c>
      <x:c r="H413" s="45" t="n">
        <x:f>IF(G413="","",ROUNDUP(G413*3,0))</x:f>
        <x:v>225000</x:v>
      </x:c>
      <x:c r="I413" s="41" t="n">
        <x:v>1</x:v>
      </x:c>
      <x:c r="J413" s="42" t="n">
        <x:v>150</x:v>
      </x:c>
      <x:c r="K413" s="42" t="n">
        <x:v>80</x:v>
      </x:c>
      <x:c r="L413" s="42" t="n">
        <x:v>44</x:v>
      </x:c>
      <x:c r="M413" s="42" t="n">
        <x:v>90</x:v>
      </x:c>
      <x:c r="N413" s="42" t="n">
        <x:v>54</x:v>
      </x:c>
      <x:c r="O413" s="42" t="n">
        <x:v>80</x:v>
      </x:c>
      <x:c r="P413" s="43" t="n">
        <x:f>IF(COUNT(J413:O413)=0,"",SUM(J413:O413))</x:f>
        <x:v>498</x:v>
      </x:c>
      <x:c r="Q413" s="23" t="str">
        <x:v>3 lignes de spawn</x:v>
      </x:c>
      <x:c r="R413" s="23" t="str">
        <x:v>Il transporte des personnes et des Pokémon lorsqu'il vole. Mais comme il ne fait que dériver, il peut finir n'importe où.</x:v>
      </x:c>
      <x:c r="S413" s="23" t="str"/>
      <x:c r="T413" s="23" t="str">
        <x:v>https://pixelmonmod.com/wiki/Drifblim</x:v>
      </x:c>
    </x:row>
    <x:row r="414" ht="54" customHeight="1">
      <x:c r="A414" s="27" t="n">
        <x:v>427</x:v>
      </x:c>
      <x:c r="B414" s="23" t="str">
        <x:v>Laporeille</x:v>
      </x:c>
      <x:c r="C414" s="23" t="str">
        <x:v>Buneary</x:v>
      </x:c>
      <x:c r="D414" s="23" t="str">
        <x:v>Normal</x:v>
      </x:c>
      <x:c r="E414" s="23" t="str"/>
      <x:c r="F414" s="23" t="str">
        <x:v>Uncommon</x:v>
      </x:c>
      <x:c r="G414" s="45" t="n">
        <x:v>5000</x:v>
      </x:c>
      <x:c r="H414" s="45" t="n">
        <x:f>IF(G414="","",ROUNDUP(G414*3,0))</x:f>
        <x:v>15000</x:v>
      </x:c>
      <x:c r="I414" s="41" t="n">
        <x:v>1</x:v>
      </x:c>
      <x:c r="J414" s="42" t="n">
        <x:v>55</x:v>
      </x:c>
      <x:c r="K414" s="42" t="n">
        <x:v>66</x:v>
      </x:c>
      <x:c r="L414" s="42" t="n">
        <x:v>44</x:v>
      </x:c>
      <x:c r="M414" s="42" t="n">
        <x:v>44</x:v>
      </x:c>
      <x:c r="N414" s="42" t="n">
        <x:v>56</x:v>
      </x:c>
      <x:c r="O414" s="42" t="n">
        <x:v>85</x:v>
      </x:c>
      <x:c r="P414" s="43" t="n">
        <x:f>IF(COUNT(J414:O414)=0,"",SUM(J414:O414))</x:f>
        <x:v>350</x:v>
      </x:c>
      <x:c r="Q414" s="23" t="str">
        <x:v>1 lignes de spawn</x:v>
      </x:c>
      <x:c r="R414" s="23" t="str">
        <x:v>Ses oreilles sont toujours enroulées. Elles peuvent se déployer avec force et briser même un grand rocher.</x:v>
      </x:c>
      <x:c r="S414" s="23" t="str"/>
      <x:c r="T414" s="23" t="str">
        <x:v>https://pixelmonmod.com/wiki/Buneary</x:v>
      </x:c>
    </x:row>
    <x:row r="415" ht="54" customHeight="1">
      <x:c r="A415" s="27" t="n">
        <x:v>428</x:v>
      </x:c>
      <x:c r="B415" s="23" t="str">
        <x:v>Lockpin</x:v>
      </x:c>
      <x:c r="C415" s="23" t="str">
        <x:v>Lopunny</x:v>
      </x:c>
      <x:c r="D415" s="23" t="str">
        <x:v>Normal</x:v>
      </x:c>
      <x:c r="E415" s="23" t="str"/>
      <x:c r="F415" s="23" t="str">
        <x:v>Ultra Rare</x:v>
      </x:c>
      <x:c r="G415" s="45" t="n">
        <x:v>75000</x:v>
      </x:c>
      <x:c r="H415" s="45" t="n">
        <x:f>IF(G415="","",ROUNDUP(G415*3,0))</x:f>
        <x:v>225000</x:v>
      </x:c>
      <x:c r="I415" s="41" t="n">
        <x:v>1</x:v>
      </x:c>
      <x:c r="J415" s="42" t="n">
        <x:v>65</x:v>
      </x:c>
      <x:c r="K415" s="42" t="n">
        <x:v>76</x:v>
      </x:c>
      <x:c r="L415" s="42" t="n">
        <x:v>84</x:v>
      </x:c>
      <x:c r="M415" s="42" t="n">
        <x:v>54</x:v>
      </x:c>
      <x:c r="N415" s="42" t="n">
        <x:v>96</x:v>
      </x:c>
      <x:c r="O415" s="42" t="n">
        <x:v>105</x:v>
      </x:c>
      <x:c r="P415" s="43" t="n">
        <x:f>IF(COUNT(J415:O415)=0,"",SUM(J415:O415))</x:f>
        <x:v>480</x:v>
      </x:c>
      <x:c r="Q415" s="23" t="str">
        <x:v>3 lignes de spawn</x:v>
      </x:c>
      <x:c r="R415" s="23" t="str">
        <x:v>Extrêmement prudent, il détale dès qu'il ressent le moindre danger.</x:v>
      </x:c>
      <x:c r="S415" s="23" t="str"/>
      <x:c r="T415" s="23" t="str">
        <x:v>https://pixelmonmod.com/wiki/Lopunny</x:v>
      </x:c>
    </x:row>
    <x:row r="416" ht="54" customHeight="1">
      <x:c r="A416" s="27" t="n">
        <x:v>429</x:v>
      </x:c>
      <x:c r="B416" s="23" t="str">
        <x:v>Magirêve</x:v>
      </x:c>
      <x:c r="C416" s="23" t="str">
        <x:v>Mismagius</x:v>
      </x:c>
      <x:c r="D416" s="23" t="str">
        <x:v>Spectre</x:v>
      </x:c>
      <x:c r="E416" s="23" t="str"/>
      <x:c r="F416" s="23" t="str">
        <x:v>Ultra Rare</x:v>
      </x:c>
      <x:c r="G416" s="45" t="n">
        <x:v>75000</x:v>
      </x:c>
      <x:c r="H416" s="45" t="n">
        <x:f>IF(G416="","",ROUNDUP(G416*3,0))</x:f>
        <x:v>225000</x:v>
      </x:c>
      <x:c r="I416" s="41" t="n">
        <x:v>1</x:v>
      </x:c>
      <x:c r="J416" s="42" t="n">
        <x:v>60</x:v>
      </x:c>
      <x:c r="K416" s="42" t="n">
        <x:v>60</x:v>
      </x:c>
      <x:c r="L416" s="42" t="n">
        <x:v>60</x:v>
      </x:c>
      <x:c r="M416" s="42" t="n">
        <x:v>105</x:v>
      </x:c>
      <x:c r="N416" s="42" t="n">
        <x:v>105</x:v>
      </x:c>
      <x:c r="O416" s="42" t="n">
        <x:v>105</x:v>
      </x:c>
      <x:c r="P416" s="43" t="n">
        <x:f>IF(COUNT(J416:O416)=0,"",SUM(J416:O416))</x:f>
        <x:v>495</x:v>
      </x:c>
      <x:c r="Q416" s="23" t="str">
        <x:v>4 lignes de spawn</x:v>
      </x:c>
      <x:c r="R416" s="23" t="str">
        <x:v>Il chante des incantations. Si celles-ci tourmentent souvent leurs cibles, certaines peuvent au contraire apporter le bonheur.</x:v>
      </x:c>
      <x:c r="S416" s="23" t="str"/>
      <x:c r="T416" s="23" t="str">
        <x:v>https://pixelmonmod.com/wiki/Mismagius</x:v>
      </x:c>
    </x:row>
    <x:row r="417" ht="54" customHeight="1">
      <x:c r="A417" s="27" t="n">
        <x:v>430</x:v>
      </x:c>
      <x:c r="B417" s="23" t="str">
        <x:v>Corboss</x:v>
      </x:c>
      <x:c r="C417" s="23" t="str">
        <x:v>Honchkrow</x:v>
      </x:c>
      <x:c r="D417" s="23" t="str">
        <x:v>Ténèbres</x:v>
      </x:c>
      <x:c r="E417" s="23" t="str">
        <x:v>Vol</x:v>
      </x:c>
      <x:c r="F417" s="23" t="str">
        <x:v>Ultra Rare</x:v>
      </x:c>
      <x:c r="G417" s="45" t="n">
        <x:v>75000</x:v>
      </x:c>
      <x:c r="H417" s="45" t="n">
        <x:f>IF(G417="","",ROUNDUP(G417*3,0))</x:f>
        <x:v>225000</x:v>
      </x:c>
      <x:c r="I417" s="41" t="n">
        <x:v>1</x:v>
      </x:c>
      <x:c r="J417" s="42" t="n">
        <x:v>100</x:v>
      </x:c>
      <x:c r="K417" s="42" t="n">
        <x:v>125</x:v>
      </x:c>
      <x:c r="L417" s="42" t="n">
        <x:v>52</x:v>
      </x:c>
      <x:c r="M417" s="42" t="n">
        <x:v>105</x:v>
      </x:c>
      <x:c r="N417" s="42" t="n">
        <x:v>52</x:v>
      </x:c>
      <x:c r="O417" s="42" t="n">
        <x:v>71</x:v>
      </x:c>
      <x:c r="P417" s="43" t="n">
        <x:f>IF(COUNT(J417:O417)=0,"",SUM(J417:O417))</x:f>
        <x:v>505</x:v>
      </x:c>
      <x:c r="Q417" s="23" t="str">
        <x:v>3 lignes de spawn</x:v>
      </x:c>
      <x:c r="R417" s="23" t="str">
        <x:v>Quand il pousse un cri grave, de nombreux Cornèbre accourent. Cela lui vaut le surnom de « Maître de la Nuit ».</x:v>
      </x:c>
      <x:c r="S417" s="23" t="str"/>
      <x:c r="T417" s="23" t="str">
        <x:v>https://pixelmonmod.com/wiki/Honchkrow</x:v>
      </x:c>
    </x:row>
    <x:row r="418" ht="54" customHeight="1">
      <x:c r="A418" s="27" t="n">
        <x:v>431</x:v>
      </x:c>
      <x:c r="B418" s="23" t="str">
        <x:v>Chaglam</x:v>
      </x:c>
      <x:c r="C418" s="23" t="str">
        <x:v>Glameow</x:v>
      </x:c>
      <x:c r="D418" s="23" t="str">
        <x:v>Normal</x:v>
      </x:c>
      <x:c r="E418" s="23" t="str"/>
      <x:c r="F418" s="23" t="str">
        <x:v>Uncommon</x:v>
      </x:c>
      <x:c r="G418" s="45" t="n">
        <x:v>5000</x:v>
      </x:c>
      <x:c r="H418" s="45" t="n">
        <x:f>IF(G418="","",ROUNDUP(G418*3,0))</x:f>
        <x:v>15000</x:v>
      </x:c>
      <x:c r="I418" s="41" t="n">
        <x:v>0.667</x:v>
      </x:c>
      <x:c r="J418" s="42" t="n">
        <x:v>49</x:v>
      </x:c>
      <x:c r="K418" s="42" t="n">
        <x:v>55</x:v>
      </x:c>
      <x:c r="L418" s="42" t="n">
        <x:v>42</x:v>
      </x:c>
      <x:c r="M418" s="42" t="n">
        <x:v>42</x:v>
      </x:c>
      <x:c r="N418" s="42" t="n">
        <x:v>37</x:v>
      </x:c>
      <x:c r="O418" s="42" t="n">
        <x:v>85</x:v>
      </x:c>
      <x:c r="P418" s="43" t="n">
        <x:f>IF(COUNT(J418:O418)=0,"",SUM(J418:O418))</x:f>
        <x:v>310</x:v>
      </x:c>
      <x:c r="Q418" s="23" t="str">
        <x:v>3 lignes de spawn</x:v>
      </x:c>
      <x:c r="R418" s="23" t="str">
        <x:v>Il griffe lorsqu'il est mécontent et ronronne lorsqu'il est affectueux. Son caractère capricieux est très apprécié de certains.</x:v>
      </x:c>
      <x:c r="S418" s="23" t="str"/>
      <x:c r="T418" s="23" t="str">
        <x:v>https://pixelmonmod.com/wiki/Glameow</x:v>
      </x:c>
    </x:row>
    <x:row r="419" ht="54" customHeight="1">
      <x:c r="A419" s="27" t="n">
        <x:v>432</x:v>
      </x:c>
      <x:c r="B419" s="23" t="str">
        <x:v>Chaffreux</x:v>
      </x:c>
      <x:c r="C419" s="23" t="str">
        <x:v>Purugly</x:v>
      </x:c>
      <x:c r="D419" s="23" t="str">
        <x:v>Normal</x:v>
      </x:c>
      <x:c r="E419" s="23" t="str"/>
      <x:c r="F419" s="23" t="str">
        <x:v>Very Rare / Ultra Rare</x:v>
      </x:c>
      <x:c r="G419" s="45" t="n">
        <x:v>75000</x:v>
      </x:c>
      <x:c r="H419" s="45" t="n">
        <x:f>IF(G419="","",ROUNDUP(G419*3,0))</x:f>
        <x:v>225000</x:v>
      </x:c>
      <x:c r="I419" s="41" t="n">
        <x:v>0.5</x:v>
      </x:c>
      <x:c r="J419" s="42" t="n">
        <x:v>71</x:v>
      </x:c>
      <x:c r="K419" s="42" t="n">
        <x:v>82</x:v>
      </x:c>
      <x:c r="L419" s="42" t="n">
        <x:v>64</x:v>
      </x:c>
      <x:c r="M419" s="42" t="n">
        <x:v>64</x:v>
      </x:c>
      <x:c r="N419" s="42" t="n">
        <x:v>59</x:v>
      </x:c>
      <x:c r="O419" s="42" t="n">
        <x:v>112</x:v>
      </x:c>
      <x:c r="P419" s="43" t="n">
        <x:f>IF(COUNT(J419:O419)=0,"",SUM(J419:O419))</x:f>
        <x:v>452</x:v>
      </x:c>
      <x:c r="Q419" s="23" t="str">
        <x:v>2 lignes de spawn</x:v>
      </x:c>
      <x:c r="R419" s="23" t="str">
        <x:v>Il n'hésite pas à s'approprier le nid d'un autre Pokémon s'il le trouve suffisamment confortable.</x:v>
      </x:c>
      <x:c r="S419" s="23" t="str">
        <x:v>Égalité de fréquence; prix provisoire basé sur le palier le plus élevé. Very Rare aligné sur le palier Super Rare (provisoire).</x:v>
      </x:c>
      <x:c r="T419" s="23" t="str">
        <x:v>https://pixelmonmod.com/wiki/Purugly</x:v>
      </x:c>
    </x:row>
    <x:row r="420" ht="54" customHeight="1">
      <x:c r="A420" s="27" t="n">
        <x:v>433</x:v>
      </x:c>
      <x:c r="B420" s="23" t="str">
        <x:v>Korillon</x:v>
      </x:c>
      <x:c r="C420" s="23" t="str">
        <x:v>Chingling</x:v>
      </x:c>
      <x:c r="D420" s="23" t="str">
        <x:v>Psy</x:v>
      </x:c>
      <x:c r="E420" s="23" t="str"/>
      <x:c r="F420" s="23" t="str">
        <x:v>Non classé</x:v>
      </x:c>
      <x:c r="G420" s="45"/>
      <x:c r="H420" s="45" t="str">
        <x:f>IF(G420="","",ROUNDUP(G420*3,0))</x:f>
      </x:c>
      <x:c r="I420" s="41"/>
      <x:c r="J420" s="42" t="n">
        <x:v>45</x:v>
      </x:c>
      <x:c r="K420" s="42" t="n">
        <x:v>30</x:v>
      </x:c>
      <x:c r="L420" s="42" t="n">
        <x:v>50</x:v>
      </x:c>
      <x:c r="M420" s="42" t="n">
        <x:v>65</x:v>
      </x:c>
      <x:c r="N420" s="42" t="n">
        <x:v>50</x:v>
      </x:c>
      <x:c r="O420" s="42" t="n">
        <x:v>45</x:v>
      </x:c>
      <x:c r="P420" s="43" t="n">
        <x:f>IF(COUNT(J420:O420)=0,"",SUM(J420:O420))</x:f>
        <x:v>285</x:v>
      </x:c>
      <x:c r="Q420" s="23" t="str">
        <x:v>Aucune ligne classée</x:v>
      </x:c>
      <x:c r="R420" s="23" t="str">
        <x:v>À chaque bond, il produit un tintement. Il assourdit ses ennemis en émettant des cris à haute fréquence.</x:v>
      </x:c>
      <x:c r="S420" s="23" t="str">
        <x:v>Aucune rareté wiki exploitable; prix à fixer.</x:v>
      </x:c>
      <x:c r="T420" s="23" t="str">
        <x:v>https://pixelmonmod.com/wiki/Chingling</x:v>
      </x:c>
    </x:row>
    <x:row r="421" ht="54" customHeight="1">
      <x:c r="A421" s="27" t="n">
        <x:v>434</x:v>
      </x:c>
      <x:c r="B421" s="23" t="str">
        <x:v>Moufouette</x:v>
      </x:c>
      <x:c r="C421" s="23" t="str">
        <x:v>Stunky</x:v>
      </x:c>
      <x:c r="D421" s="23" t="str">
        <x:v>Poison</x:v>
      </x:c>
      <x:c r="E421" s="23" t="str">
        <x:v>Ténèbres</x:v>
      </x:c>
      <x:c r="F421" s="23" t="str">
        <x:v>Uncommon</x:v>
      </x:c>
      <x:c r="G421" s="45" t="n">
        <x:v>5000</x:v>
      </x:c>
      <x:c r="H421" s="45" t="n">
        <x:f>IF(G421="","",ROUNDUP(G421*3,0))</x:f>
        <x:v>15000</x:v>
      </x:c>
      <x:c r="I421" s="41" t="n">
        <x:v>1</x:v>
      </x:c>
      <x:c r="J421" s="42" t="n">
        <x:v>63</x:v>
      </x:c>
      <x:c r="K421" s="42" t="n">
        <x:v>63</x:v>
      </x:c>
      <x:c r="L421" s="42" t="n">
        <x:v>47</x:v>
      </x:c>
      <x:c r="M421" s="42" t="n">
        <x:v>41</x:v>
      </x:c>
      <x:c r="N421" s="42" t="n">
        <x:v>41</x:v>
      </x:c>
      <x:c r="O421" s="42" t="n">
        <x:v>74</x:v>
      </x:c>
      <x:c r="P421" s="43" t="n">
        <x:f>IF(COUNT(J421:O421)=0,"",SUM(J421:O421))</x:f>
        <x:v>329</x:v>
      </x:c>
      <x:c r="Q421" s="23" t="str">
        <x:v>4 lignes de spawn</x:v>
      </x:c>
      <x:c r="R421" s="23" t="str">
        <x:v>Il projette un fluide nauséabond depuis son arrière-train. Son odeur se répand sur plus d'un kilomètre, faisant fuir les Pokémon.</x:v>
      </x:c>
      <x:c r="S421" s="23" t="str"/>
      <x:c r="T421" s="23" t="str">
        <x:v>https://pixelmonmod.com/wiki/Stunky</x:v>
      </x:c>
    </x:row>
    <x:row r="422" ht="54" customHeight="1">
      <x:c r="A422" s="27" t="n">
        <x:v>435</x:v>
      </x:c>
      <x:c r="B422" s="23" t="str">
        <x:v>Moufflair</x:v>
      </x:c>
      <x:c r="C422" s="23" t="str">
        <x:v>Skuntank</x:v>
      </x:c>
      <x:c r="D422" s="23" t="str">
        <x:v>Poison</x:v>
      </x:c>
      <x:c r="E422" s="23" t="str">
        <x:v>Ténèbres</x:v>
      </x:c>
      <x:c r="F422" s="23" t="str">
        <x:v>Ultra Rare</x:v>
      </x:c>
      <x:c r="G422" s="45" t="n">
        <x:v>75000</x:v>
      </x:c>
      <x:c r="H422" s="45" t="n">
        <x:f>IF(G422="","",ROUNDUP(G422*3,0))</x:f>
        <x:v>225000</x:v>
      </x:c>
      <x:c r="I422" s="41" t="n">
        <x:v>1</x:v>
      </x:c>
      <x:c r="J422" s="42" t="n">
        <x:v>103</x:v>
      </x:c>
      <x:c r="K422" s="42" t="n">
        <x:v>93</x:v>
      </x:c>
      <x:c r="L422" s="42" t="n">
        <x:v>67</x:v>
      </x:c>
      <x:c r="M422" s="42" t="n">
        <x:v>71</x:v>
      </x:c>
      <x:c r="N422" s="42" t="n">
        <x:v>61</x:v>
      </x:c>
      <x:c r="O422" s="42" t="n">
        <x:v>84</x:v>
      </x:c>
      <x:c r="P422" s="43" t="n">
        <x:f>IF(COUNT(J422:O422)=0,"",SUM(J422:O422))</x:f>
        <x:v>479</x:v>
      </x:c>
      <x:c r="Q422" s="23" t="str">
        <x:v>4 lignes de spawn</x:v>
      </x:c>
      <x:c r="R422" s="23" t="str">
        <x:v>Il projette un liquide nauséabond depuis l'extrémité de sa queue. Sa portée dépasse les 50 mètres.</x:v>
      </x:c>
      <x:c r="S422" s="23" t="str"/>
      <x:c r="T422" s="23" t="str">
        <x:v>https://pixelmonmod.com/wiki/Skuntank</x:v>
      </x:c>
    </x:row>
    <x:row r="423" ht="54" customHeight="1">
      <x:c r="A423" s="27" t="n">
        <x:v>436</x:v>
      </x:c>
      <x:c r="B423" s="23" t="str">
        <x:v>Archéomire</x:v>
      </x:c>
      <x:c r="C423" s="23" t="str">
        <x:v>Bronzor</x:v>
      </x:c>
      <x:c r="D423" s="23" t="str">
        <x:v>Acier</x:v>
      </x:c>
      <x:c r="E423" s="23" t="str">
        <x:v>Psy</x:v>
      </x:c>
      <x:c r="F423" s="23" t="str">
        <x:v>Rare</x:v>
      </x:c>
      <x:c r="G423" s="45" t="n">
        <x:v>12000</x:v>
      </x:c>
      <x:c r="H423" s="45" t="n">
        <x:f>IF(G423="","",ROUNDUP(G423*3,0))</x:f>
        <x:v>36000</x:v>
      </x:c>
      <x:c r="I423" s="41" t="n">
        <x:v>0.5</x:v>
      </x:c>
      <x:c r="J423" s="42" t="n">
        <x:v>57</x:v>
      </x:c>
      <x:c r="K423" s="42" t="n">
        <x:v>24</x:v>
      </x:c>
      <x:c r="L423" s="42" t="n">
        <x:v>86</x:v>
      </x:c>
      <x:c r="M423" s="42" t="n">
        <x:v>24</x:v>
      </x:c>
      <x:c r="N423" s="42" t="n">
        <x:v>86</x:v>
      </x:c>
      <x:c r="O423" s="42" t="n">
        <x:v>23</x:v>
      </x:c>
      <x:c r="P423" s="43" t="n">
        <x:f>IF(COUNT(J423:O423)=0,"",SUM(J423:O423))</x:f>
        <x:v>300</x:v>
      </x:c>
      <x:c r="Q423" s="23" t="str">
        <x:v>6 lignes de spawn</x:v>
      </x:c>
      <x:c r="R423" s="23" t="str">
        <x:v>Les anciens croyaient que le motif au dos d'Archéomire renfermait une puissance mystérieuse.</x:v>
      </x:c>
      <x:c r="S423" s="23" t="str"/>
      <x:c r="T423" s="23" t="str">
        <x:v>https://pixelmonmod.com/wiki/Bronzor</x:v>
      </x:c>
    </x:row>
    <x:row r="424" ht="54" customHeight="1">
      <x:c r="A424" s="27" t="n">
        <x:v>437</x:v>
      </x:c>
      <x:c r="B424" s="23" t="str">
        <x:v>Archéodong</x:v>
      </x:c>
      <x:c r="C424" s="23" t="str">
        <x:v>Bronzong</x:v>
      </x:c>
      <x:c r="D424" s="23" t="str">
        <x:v>Acier</x:v>
      </x:c>
      <x:c r="E424" s="23" t="str">
        <x:v>Psy</x:v>
      </x:c>
      <x:c r="F424" s="23" t="str">
        <x:v>Ultra Rare</x:v>
      </x:c>
      <x:c r="G424" s="45" t="n">
        <x:v>75000</x:v>
      </x:c>
      <x:c r="H424" s="45" t="n">
        <x:f>IF(G424="","",ROUNDUP(G424*3,0))</x:f>
        <x:v>225000</x:v>
      </x:c>
      <x:c r="I424" s="41" t="n">
        <x:v>1</x:v>
      </x:c>
      <x:c r="J424" s="42" t="n">
        <x:v>67</x:v>
      </x:c>
      <x:c r="K424" s="42" t="n">
        <x:v>89</x:v>
      </x:c>
      <x:c r="L424" s="42" t="n">
        <x:v>116</x:v>
      </x:c>
      <x:c r="M424" s="42" t="n">
        <x:v>79</x:v>
      </x:c>
      <x:c r="N424" s="42" t="n">
        <x:v>116</x:v>
      </x:c>
      <x:c r="O424" s="42" t="n">
        <x:v>33</x:v>
      </x:c>
      <x:c r="P424" s="43" t="n">
        <x:f>IF(COUNT(J424:O424)=0,"",SUM(J424:O424))</x:f>
        <x:v>500</x:v>
      </x:c>
      <x:c r="Q424" s="23" t="str">
        <x:v>5 lignes de spawn</x:v>
      </x:c>
      <x:c r="R424" s="23" t="str">
        <x:v>Dans les temps anciens, ce Pokémon était vénéré comme un faiseur de pluie. On l'a retrouvé enseveli dans le sol.</x:v>
      </x:c>
      <x:c r="S424" s="23" t="str"/>
      <x:c r="T424" s="23" t="str">
        <x:v>https://pixelmonmod.com/wiki/Bronzong</x:v>
      </x:c>
    </x:row>
    <x:row r="425" ht="54" customHeight="1">
      <x:c r="A425" s="27" t="n">
        <x:v>438</x:v>
      </x:c>
      <x:c r="B425" s="23" t="str">
        <x:v>Manzaï</x:v>
      </x:c>
      <x:c r="C425" s="23" t="str">
        <x:v>Bonsly</x:v>
      </x:c>
      <x:c r="D425" s="23" t="str">
        <x:v>Roche</x:v>
      </x:c>
      <x:c r="E425" s="23" t="str"/>
      <x:c r="F425" s="23" t="str">
        <x:v>Ultra Rare</x:v>
      </x:c>
      <x:c r="G425" s="45" t="n">
        <x:v>75000</x:v>
      </x:c>
      <x:c r="H425" s="45" t="n">
        <x:f>IF(G425="","",ROUNDUP(G425*3,0))</x:f>
        <x:v>225000</x:v>
      </x:c>
      <x:c r="I425" s="41" t="n">
        <x:v>1</x:v>
      </x:c>
      <x:c r="J425" s="42" t="n">
        <x:v>50</x:v>
      </x:c>
      <x:c r="K425" s="42" t="n">
        <x:v>80</x:v>
      </x:c>
      <x:c r="L425" s="42" t="n">
        <x:v>95</x:v>
      </x:c>
      <x:c r="M425" s="42" t="n">
        <x:v>10</x:v>
      </x:c>
      <x:c r="N425" s="42" t="n">
        <x:v>45</x:v>
      </x:c>
      <x:c r="O425" s="42" t="n">
        <x:v>10</x:v>
      </x:c>
      <x:c r="P425" s="43" t="n">
        <x:f>IF(COUNT(J425:O425)=0,"",SUM(J425:O425))</x:f>
        <x:v>290</x:v>
      </x:c>
      <x:c r="Q425" s="23" t="str">
        <x:v>1 lignes de spawn</x:v>
      </x:c>
      <x:c r="R425" s="23" t="str">
        <x:v>Il préfère les environnements arides. Il laisse couler de l'eau de ses yeux pour réguler les fluides de son corps.</x:v>
      </x:c>
      <x:c r="S425" s="23" t="str"/>
      <x:c r="T425" s="23" t="str">
        <x:v>https://pixelmonmod.com/wiki/Bonsly</x:v>
      </x:c>
    </x:row>
    <x:row r="426" ht="54" customHeight="1">
      <x:c r="A426" s="27" t="n">
        <x:v>439</x:v>
      </x:c>
      <x:c r="B426" s="23" t="str">
        <x:v>Mime Jr.</x:v>
      </x:c>
      <x:c r="C426" s="23" t="str">
        <x:v>Mime Jr.</x:v>
      </x:c>
      <x:c r="D426" s="23" t="str">
        <x:v>Psy</x:v>
      </x:c>
      <x:c r="E426" s="23" t="str">
        <x:v>Fée</x:v>
      </x:c>
      <x:c r="F426" s="23" t="str">
        <x:v>Non classé</x:v>
      </x:c>
      <x:c r="G426" s="45"/>
      <x:c r="H426" s="45" t="str">
        <x:f>IF(G426="","",ROUNDUP(G426*3,0))</x:f>
      </x:c>
      <x:c r="I426" s="41"/>
      <x:c r="J426" s="42" t="n">
        <x:v>20</x:v>
      </x:c>
      <x:c r="K426" s="42" t="n">
        <x:v>25</x:v>
      </x:c>
      <x:c r="L426" s="42" t="n">
        <x:v>45</x:v>
      </x:c>
      <x:c r="M426" s="42" t="n">
        <x:v>70</x:v>
      </x:c>
      <x:c r="N426" s="42" t="n">
        <x:v>90</x:v>
      </x:c>
      <x:c r="O426" s="42" t="n">
        <x:v>60</x:v>
      </x:c>
      <x:c r="P426" s="43" t="n">
        <x:f>IF(COUNT(J426:O426)=0,"",SUM(J426:O426))</x:f>
        <x:v>310</x:v>
      </x:c>
      <x:c r="Q426" s="23" t="str">
        <x:v>Aucune ligne classée</x:v>
      </x:c>
      <x:c r="R426" s="23" t="str">
        <x:v>Pour tenter de déstabiliser son ennemi, il imite ses mouvements. Puis il ne perd pas une seconde pour prendre la fuite !</x:v>
      </x:c>
      <x:c r="S426" s="23" t="str">
        <x:v>Aucune rareté wiki exploitable; prix à fixer.</x:v>
      </x:c>
      <x:c r="T426" s="23" t="str">
        <x:v>https://pixelmonmod.com/wiki/Mime_Jr.</x:v>
      </x:c>
    </x:row>
    <x:row r="427" ht="54" customHeight="1">
      <x:c r="A427" s="27" t="n">
        <x:v>440</x:v>
      </x:c>
      <x:c r="B427" s="23" t="str">
        <x:v>Ptiravi</x:v>
      </x:c>
      <x:c r="C427" s="23" t="str">
        <x:v>Happiny</x:v>
      </x:c>
      <x:c r="D427" s="23" t="str">
        <x:v>Normal</x:v>
      </x:c>
      <x:c r="E427" s="23" t="str"/>
      <x:c r="F427" s="23" t="str">
        <x:v>Non classé</x:v>
      </x:c>
      <x:c r="G427" s="45"/>
      <x:c r="H427" s="45" t="str">
        <x:f>IF(G427="","",ROUNDUP(G427*3,0))</x:f>
      </x:c>
      <x:c r="I427" s="41"/>
      <x:c r="J427" s="42" t="n">
        <x:v>100</x:v>
      </x:c>
      <x:c r="K427" s="42" t="n">
        <x:v>5</x:v>
      </x:c>
      <x:c r="L427" s="42" t="n">
        <x:v>5</x:v>
      </x:c>
      <x:c r="M427" s="42" t="n">
        <x:v>15</x:v>
      </x:c>
      <x:c r="N427" s="42" t="n">
        <x:v>65</x:v>
      </x:c>
      <x:c r="O427" s="42" t="n">
        <x:v>30</x:v>
      </x:c>
      <x:c r="P427" s="43" t="n">
        <x:f>IF(COUNT(J427:O427)=0,"",SUM(J427:O427))</x:f>
        <x:v>220</x:v>
      </x:c>
      <x:c r="Q427" s="23" t="str">
        <x:v>Aucune ligne classée</x:v>
      </x:c>
      <x:c r="R427" s="23" t="str">
        <x:v>Il transporte un caillou rond en forme d'œuf dans la poche de son ventre et l'offre à ses amis.</x:v>
      </x:c>
      <x:c r="S427" s="23" t="str">
        <x:v>Aucune rareté wiki exploitable; prix à fixer.</x:v>
      </x:c>
      <x:c r="T427" s="23" t="str">
        <x:v>https://pixelmonmod.com/wiki/Happiny</x:v>
      </x:c>
    </x:row>
    <x:row r="428" ht="54" customHeight="1">
      <x:c r="A428" s="27" t="n">
        <x:v>441</x:v>
      </x:c>
      <x:c r="B428" s="23" t="str">
        <x:v>Pijako</x:v>
      </x:c>
      <x:c r="C428" s="23" t="str">
        <x:v>Chatot</x:v>
      </x:c>
      <x:c r="D428" s="23" t="str">
        <x:v>Normal</x:v>
      </x:c>
      <x:c r="E428" s="23" t="str">
        <x:v>Vol</x:v>
      </x:c>
      <x:c r="F428" s="23" t="str">
        <x:v>Rare / Very Rare</x:v>
      </x:c>
      <x:c r="G428" s="45" t="n">
        <x:v>30000</x:v>
      </x:c>
      <x:c r="H428" s="45" t="n">
        <x:f>IF(G428="","",ROUNDUP(G428*3,0))</x:f>
        <x:v>90000</x:v>
      </x:c>
      <x:c r="I428" s="41" t="n">
        <x:v>0.4</x:v>
      </x:c>
      <x:c r="J428" s="42" t="n">
        <x:v>76</x:v>
      </x:c>
      <x:c r="K428" s="42" t="n">
        <x:v>65</x:v>
      </x:c>
      <x:c r="L428" s="42" t="n">
        <x:v>45</x:v>
      </x:c>
      <x:c r="M428" s="42" t="n">
        <x:v>92</x:v>
      </x:c>
      <x:c r="N428" s="42" t="n">
        <x:v>42</x:v>
      </x:c>
      <x:c r="O428" s="42" t="n">
        <x:v>91</x:v>
      </x:c>
      <x:c r="P428" s="43" t="n">
        <x:f>IF(COUNT(J428:O428)=0,"",SUM(J428:O428))</x:f>
        <x:v>411</x:v>
      </x:c>
      <x:c r="Q428" s="23" t="str">
        <x:v>5 lignes de spawn</x:v>
      </x:c>
      <x:c r="R428" s="23" t="str">
        <x:v>Il imite les cris d'autres Pokémon pour les tromper et leur faire croire qu'il est l'un d'eux. Ainsi, ils ne l'attaquent pas.</x:v>
      </x:c>
      <x:c r="S428" s="23" t="str">
        <x:v>Égalité de fréquence; prix provisoire basé sur le palier le plus élevé. Very Rare aligné sur le palier Super Rare (provisoire).</x:v>
      </x:c>
      <x:c r="T428" s="23" t="str">
        <x:v>https://pixelmonmod.com/wiki/Chatot</x:v>
      </x:c>
    </x:row>
    <x:row r="429" ht="54" customHeight="1">
      <x:c r="A429" s="27" t="n">
        <x:v>442</x:v>
      </x:c>
      <x:c r="B429" s="23" t="str">
        <x:v>Spiritomb</x:v>
      </x:c>
      <x:c r="C429" s="23" t="str">
        <x:v>Spiritomb</x:v>
      </x:c>
      <x:c r="D429" s="23" t="str">
        <x:v>Spectre</x:v>
      </x:c>
      <x:c r="E429" s="23" t="str">
        <x:v>Ténèbres</x:v>
      </x:c>
      <x:c r="F429" s="23" t="str">
        <x:v>Ultra Rare</x:v>
      </x:c>
      <x:c r="G429" s="45" t="n">
        <x:v>75000</x:v>
      </x:c>
      <x:c r="H429" s="45" t="n">
        <x:f>IF(G429="","",ROUNDUP(G429*3,0))</x:f>
        <x:v>225000</x:v>
      </x:c>
      <x:c r="I429" s="41" t="n">
        <x:v>1</x:v>
      </x:c>
      <x:c r="J429" s="42" t="n">
        <x:v>50</x:v>
      </x:c>
      <x:c r="K429" s="42" t="n">
        <x:v>92</x:v>
      </x:c>
      <x:c r="L429" s="42" t="n">
        <x:v>108</x:v>
      </x:c>
      <x:c r="M429" s="42" t="n">
        <x:v>92</x:v>
      </x:c>
      <x:c r="N429" s="42" t="n">
        <x:v>108</x:v>
      </x:c>
      <x:c r="O429" s="42" t="n">
        <x:v>35</x:v>
      </x:c>
      <x:c r="P429" s="43" t="n">
        <x:f>IF(COUNT(J429:O429)=0,"",SUM(J429:O429))</x:f>
        <x:v>485</x:v>
      </x:c>
      <x:c r="Q429" s="23" t="str">
        <x:v>2 lignes de spawn</x:v>
      </x:c>
      <x:c r="R429" s="23" t="str">
        <x:v>Un Pokémon formé par 108 esprits. Il est lié à une fissure dans une Clé de Voûte.</x:v>
      </x:c>
      <x:c r="S429" s="23" t="str"/>
      <x:c r="T429" s="23" t="str">
        <x:v>https://pixelmonmod.com/wiki/Spiritomb</x:v>
      </x:c>
    </x:row>
    <x:row r="430" ht="54" customHeight="1">
      <x:c r="A430" s="27" t="n">
        <x:v>443</x:v>
      </x:c>
      <x:c r="B430" s="23" t="str">
        <x:v>Griknot</x:v>
      </x:c>
      <x:c r="C430" s="23" t="str">
        <x:v>Gible</x:v>
      </x:c>
      <x:c r="D430" s="23" t="str">
        <x:v>Dragon</x:v>
      </x:c>
      <x:c r="E430" s="23" t="str">
        <x:v>Sol</x:v>
      </x:c>
      <x:c r="F430" s="23" t="str">
        <x:v>Uncommon</x:v>
      </x:c>
      <x:c r="G430" s="45" t="n">
        <x:v>5000</x:v>
      </x:c>
      <x:c r="H430" s="45" t="n">
        <x:f>IF(G430="","",ROUNDUP(G430*3,0))</x:f>
        <x:v>15000</x:v>
      </x:c>
      <x:c r="I430" s="41" t="n">
        <x:v>0.75</x:v>
      </x:c>
      <x:c r="J430" s="42" t="n">
        <x:v>58</x:v>
      </x:c>
      <x:c r="K430" s="42" t="n">
        <x:v>70</x:v>
      </x:c>
      <x:c r="L430" s="42" t="n">
        <x:v>45</x:v>
      </x:c>
      <x:c r="M430" s="42" t="n">
        <x:v>40</x:v>
      </x:c>
      <x:c r="N430" s="42" t="n">
        <x:v>45</x:v>
      </x:c>
      <x:c r="O430" s="42" t="n">
        <x:v>42</x:v>
      </x:c>
      <x:c r="P430" s="43" t="n">
        <x:f>IF(COUNT(J430:O430)=0,"",SUM(J430:O430))</x:f>
        <x:v>300</x:v>
      </x:c>
      <x:c r="Q430" s="23" t="str">
        <x:v>4 lignes de spawn</x:v>
      </x:c>
      <x:c r="R430" s="23" t="str">
        <x:v>Il niche dans des trous horizontaux réchauffés par la chaleur géothermique. Les ennemis qui s'en approchent trop peuvent s'attendre à se faire bondir dessus et mordre.</x:v>
      </x:c>
      <x:c r="S430" s="23" t="str"/>
      <x:c r="T430" s="23" t="str">
        <x:v>https://pixelmonmod.com/wiki/Gible</x:v>
      </x:c>
    </x:row>
    <x:row r="431" ht="54" customHeight="1">
      <x:c r="A431" s="27" t="n">
        <x:v>444</x:v>
      </x:c>
      <x:c r="B431" s="23" t="str">
        <x:v>Carmache</x:v>
      </x:c>
      <x:c r="C431" s="23" t="str">
        <x:v>Gabite</x:v>
      </x:c>
      <x:c r="D431" s="23" t="str">
        <x:v>Dragon</x:v>
      </x:c>
      <x:c r="E431" s="23" t="str">
        <x:v>Sol</x:v>
      </x:c>
      <x:c r="F431" s="23" t="str">
        <x:v>Ultra Rare</x:v>
      </x:c>
      <x:c r="G431" s="45" t="n">
        <x:v>75000</x:v>
      </x:c>
      <x:c r="H431" s="45" t="n">
        <x:f>IF(G431="","",ROUNDUP(G431*3,0))</x:f>
        <x:v>225000</x:v>
      </x:c>
      <x:c r="I431" s="41" t="n">
        <x:v>0.75</x:v>
      </x:c>
      <x:c r="J431" s="42" t="n">
        <x:v>68</x:v>
      </x:c>
      <x:c r="K431" s="42" t="n">
        <x:v>90</x:v>
      </x:c>
      <x:c r="L431" s="42" t="n">
        <x:v>65</x:v>
      </x:c>
      <x:c r="M431" s="42" t="n">
        <x:v>50</x:v>
      </x:c>
      <x:c r="N431" s="42" t="n">
        <x:v>55</x:v>
      </x:c>
      <x:c r="O431" s="42" t="n">
        <x:v>82</x:v>
      </x:c>
      <x:c r="P431" s="43" t="n">
        <x:f>IF(COUNT(J431:O431)=0,"",SUM(J431:O431))</x:f>
        <x:v>410</x:v>
      </x:c>
      <x:c r="Q431" s="23" t="str">
        <x:v>4 lignes de spawn</x:v>
      </x:c>
      <x:c r="R431" s="23" t="str">
        <x:v>Il adore tout ce qui brille. Il cherche des trésors dans les grottes et accumule ses trouvailles dans son nid.</x:v>
      </x:c>
      <x:c r="S431" s="23" t="str"/>
      <x:c r="T431" s="23" t="str">
        <x:v>https://pixelmonmod.com/wiki/Gabite</x:v>
      </x:c>
    </x:row>
    <x:row r="432" ht="54" customHeight="1">
      <x:c r="A432" s="27" t="n">
        <x:v>445</x:v>
      </x:c>
      <x:c r="B432" s="23" t="str">
        <x:v>Carchacrok</x:v>
      </x:c>
      <x:c r="C432" s="23" t="str">
        <x:v>Garchomp</x:v>
      </x:c>
      <x:c r="D432" s="23" t="str">
        <x:v>Dragon</x:v>
      </x:c>
      <x:c r="E432" s="23" t="str">
        <x:v>Sol</x:v>
      </x:c>
      <x:c r="F432" s="23" t="str">
        <x:v>Ultra Rare</x:v>
      </x:c>
      <x:c r="G432" s="45" t="n">
        <x:v>75000</x:v>
      </x:c>
      <x:c r="H432" s="45" t="n">
        <x:f>IF(G432="","",ROUNDUP(G432*3,0))</x:f>
        <x:v>225000</x:v>
      </x:c>
      <x:c r="I432" s="41" t="n">
        <x:v>1</x:v>
      </x:c>
      <x:c r="J432" s="42" t="n">
        <x:v>108</x:v>
      </x:c>
      <x:c r="K432" s="42" t="n">
        <x:v>130</x:v>
      </x:c>
      <x:c r="L432" s="42" t="n">
        <x:v>95</x:v>
      </x:c>
      <x:c r="M432" s="42" t="n">
        <x:v>80</x:v>
      </x:c>
      <x:c r="N432" s="42" t="n">
        <x:v>85</x:v>
      </x:c>
      <x:c r="O432" s="42" t="n">
        <x:v>102</x:v>
      </x:c>
      <x:c r="P432" s="43" t="n">
        <x:f>IF(COUNT(J432:O432)=0,"",SUM(J432:O432))</x:f>
        <x:v>600</x:v>
      </x:c>
      <x:c r="Q432" s="23" t="str">
        <x:v>4 lignes de spawn</x:v>
      </x:c>
      <x:c r="R432" s="23" t="str">
        <x:v>Quand il replie son corps et déploie ses ailes, il ressemble à un avion de chasse. Il vole à vitesse supersonique.</x:v>
      </x:c>
      <x:c r="S432" s="23" t="str"/>
      <x:c r="T432" s="23" t="str">
        <x:v>https://pixelmonmod.com/wiki/Garchomp</x:v>
      </x:c>
    </x:row>
    <x:row r="433" ht="54" customHeight="1">
      <x:c r="A433" s="27" t="n">
        <x:v>446</x:v>
      </x:c>
      <x:c r="B433" s="23" t="str">
        <x:v>Goinfrex</x:v>
      </x:c>
      <x:c r="C433" s="23" t="str">
        <x:v>Munchlax</x:v>
      </x:c>
      <x:c r="D433" s="23" t="str">
        <x:v>Normal</x:v>
      </x:c>
      <x:c r="E433" s="23" t="str"/>
      <x:c r="F433" s="23" t="str">
        <x:v>Non classé</x:v>
      </x:c>
      <x:c r="G433" s="45"/>
      <x:c r="H433" s="45" t="str">
        <x:f>IF(G433="","",ROUNDUP(G433*3,0))</x:f>
      </x:c>
      <x:c r="I433" s="41"/>
      <x:c r="J433" s="42" t="n">
        <x:v>135</x:v>
      </x:c>
      <x:c r="K433" s="42" t="n">
        <x:v>85</x:v>
      </x:c>
      <x:c r="L433" s="42" t="n">
        <x:v>40</x:v>
      </x:c>
      <x:c r="M433" s="42" t="n">
        <x:v>40</x:v>
      </x:c>
      <x:c r="N433" s="42" t="n">
        <x:v>85</x:v>
      </x:c>
      <x:c r="O433" s="42" t="n">
        <x:v>5</x:v>
      </x:c>
      <x:c r="P433" s="43" t="n">
        <x:f>IF(COUNT(J433:O433)=0,"",SUM(J433:O433))</x:f>
        <x:v>390</x:v>
      </x:c>
      <x:c r="Q433" s="23" t="str">
        <x:v>Aucune ligne classée</x:v>
      </x:c>
      <x:c r="R433" s="23" t="str">
        <x:v>Il cache de la nourriture sous son long pelage. Cependant, il oublie souvent l'y avoir mise.</x:v>
      </x:c>
      <x:c r="S433" s="23" t="str">
        <x:v>Aucune rareté wiki exploitable; prix à fixer.</x:v>
      </x:c>
      <x:c r="T433" s="23" t="str">
        <x:v>https://pixelmonmod.com/wiki/Munchlax</x:v>
      </x:c>
    </x:row>
    <x:row r="434" ht="54" customHeight="1">
      <x:c r="A434" s="27" t="n">
        <x:v>447</x:v>
      </x:c>
      <x:c r="B434" s="23" t="str">
        <x:v>Riolu</x:v>
      </x:c>
      <x:c r="C434" s="23" t="str">
        <x:v>Riolu</x:v>
      </x:c>
      <x:c r="D434" s="23" t="str">
        <x:v>Combat</x:v>
      </x:c>
      <x:c r="E434" s="23" t="str"/>
      <x:c r="F434" s="23" t="str">
        <x:v>Rare</x:v>
      </x:c>
      <x:c r="G434" s="45" t="n">
        <x:v>12000</x:v>
      </x:c>
      <x:c r="H434" s="45" t="n">
        <x:f>IF(G434="","",ROUNDUP(G434*3,0))</x:f>
        <x:v>36000</x:v>
      </x:c>
      <x:c r="I434" s="41" t="n">
        <x:v>1</x:v>
      </x:c>
      <x:c r="J434" s="42" t="n">
        <x:v>40</x:v>
      </x:c>
      <x:c r="K434" s="42" t="n">
        <x:v>70</x:v>
      </x:c>
      <x:c r="L434" s="42" t="n">
        <x:v>40</x:v>
      </x:c>
      <x:c r="M434" s="42" t="n">
        <x:v>35</x:v>
      </x:c>
      <x:c r="N434" s="42" t="n">
        <x:v>40</x:v>
      </x:c>
      <x:c r="O434" s="42" t="n">
        <x:v>60</x:v>
      </x:c>
      <x:c r="P434" s="43" t="n">
        <x:f>IF(COUNT(J434:O434)=0,"",SUM(J434:O434))</x:f>
        <x:v>285</x:v>
      </x:c>
      <x:c r="Q434" s="23" t="str">
        <x:v>2 lignes de spawn</x:v>
      </x:c>
      <x:c r="R434" s="23" t="str">
        <x:v>Il utilise les formes des auras, qui varient selon les émotions, pour communiquer avec ses semblables.</x:v>
      </x:c>
      <x:c r="S434" s="23" t="str"/>
      <x:c r="T434" s="23" t="str">
        <x:v>https://pixelmonmod.com/wiki/Riolu</x:v>
      </x:c>
    </x:row>
    <x:row r="435" ht="54" customHeight="1">
      <x:c r="A435" s="27" t="n">
        <x:v>448</x:v>
      </x:c>
      <x:c r="B435" s="23" t="str">
        <x:v>Lucario</x:v>
      </x:c>
      <x:c r="C435" s="23" t="str">
        <x:v>Lucario</x:v>
      </x:c>
      <x:c r="D435" s="23" t="str">
        <x:v>Combat</x:v>
      </x:c>
      <x:c r="E435" s="23" t="str">
        <x:v>Acier</x:v>
      </x:c>
      <x:c r="F435" s="23" t="str">
        <x:v>Ultra Rare</x:v>
      </x:c>
      <x:c r="G435" s="45" t="n">
        <x:v>75000</x:v>
      </x:c>
      <x:c r="H435" s="45" t="n">
        <x:f>IF(G435="","",ROUNDUP(G435*3,0))</x:f>
        <x:v>225000</x:v>
      </x:c>
      <x:c r="I435" s="41" t="n">
        <x:v>1</x:v>
      </x:c>
      <x:c r="J435" s="42" t="n">
        <x:v>70</x:v>
      </x:c>
      <x:c r="K435" s="42" t="n">
        <x:v>110</x:v>
      </x:c>
      <x:c r="L435" s="42" t="n">
        <x:v>70</x:v>
      </x:c>
      <x:c r="M435" s="42" t="n">
        <x:v>115</x:v>
      </x:c>
      <x:c r="N435" s="42" t="n">
        <x:v>70</x:v>
      </x:c>
      <x:c r="O435" s="42" t="n">
        <x:v>90</x:v>
      </x:c>
      <x:c r="P435" s="43" t="n">
        <x:f>IF(COUNT(J435:O435)=0,"",SUM(J435:O435))</x:f>
        <x:v>525</x:v>
      </x:c>
      <x:c r="Q435" s="23" t="str">
        <x:v>3 lignes de spawn</x:v>
      </x:c>
      <x:c r="R435" s="23" t="str">
        <x:v>En percevant l'aura émanant des autres, il peut lire leurs pensées et leurs mouvements.</x:v>
      </x:c>
      <x:c r="S435" s="23" t="str"/>
      <x:c r="T435" s="23" t="str">
        <x:v>https://pixelmonmod.com/wiki/Lucario</x:v>
      </x:c>
    </x:row>
    <x:row r="436" ht="54" customHeight="1">
      <x:c r="A436" s="27" t="n">
        <x:v>449</x:v>
      </x:c>
      <x:c r="B436" s="23" t="str">
        <x:v>Hippopotas</x:v>
      </x:c>
      <x:c r="C436" s="23" t="str">
        <x:v>Hippopotas</x:v>
      </x:c>
      <x:c r="D436" s="23" t="str">
        <x:v>Sol</x:v>
      </x:c>
      <x:c r="E436" s="23" t="str"/>
      <x:c r="F436" s="23" t="str">
        <x:v>Uncommon</x:v>
      </x:c>
      <x:c r="G436" s="45" t="n">
        <x:v>5000</x:v>
      </x:c>
      <x:c r="H436" s="45" t="n">
        <x:f>IF(G436="","",ROUNDUP(G436*3,0))</x:f>
        <x:v>15000</x:v>
      </x:c>
      <x:c r="I436" s="41" t="n">
        <x:v>1</x:v>
      </x:c>
      <x:c r="J436" s="42" t="n">
        <x:v>68</x:v>
      </x:c>
      <x:c r="K436" s="42" t="n">
        <x:v>72</x:v>
      </x:c>
      <x:c r="L436" s="42" t="n">
        <x:v>78</x:v>
      </x:c>
      <x:c r="M436" s="42" t="n">
        <x:v>38</x:v>
      </x:c>
      <x:c r="N436" s="42" t="n">
        <x:v>42</x:v>
      </x:c>
      <x:c r="O436" s="42" t="n">
        <x:v>32</x:v>
      </x:c>
      <x:c r="P436" s="43" t="n">
        <x:f>IF(COUNT(J436:O436)=0,"",SUM(J436:O436))</x:f>
        <x:v>330</x:v>
      </x:c>
      <x:c r="Q436" s="23" t="str">
        <x:v>3 lignes de spawn</x:v>
      </x:c>
      <x:c r="R436" s="23" t="str">
        <x:v>Il vit dans les régions arides. Au lieu de transpirer, il expulse du sable granuleux de son corps.</x:v>
      </x:c>
      <x:c r="S436" s="23" t="str"/>
      <x:c r="T436" s="23" t="str">
        <x:v>https://pixelmonmod.com/wiki/Hippopotas</x:v>
      </x:c>
    </x:row>
    <x:row r="437" ht="54" customHeight="1">
      <x:c r="A437" s="27" t="n">
        <x:v>450</x:v>
      </x:c>
      <x:c r="B437" s="23" t="str">
        <x:v>Hippodocus</x:v>
      </x:c>
      <x:c r="C437" s="23" t="str">
        <x:v>Hippowdon</x:v>
      </x:c>
      <x:c r="D437" s="23" t="str">
        <x:v>Sol</x:v>
      </x:c>
      <x:c r="E437" s="23" t="str"/>
      <x:c r="F437" s="23" t="str">
        <x:v>Ultra Rare</x:v>
      </x:c>
      <x:c r="G437" s="45" t="n">
        <x:v>75000</x:v>
      </x:c>
      <x:c r="H437" s="45" t="n">
        <x:f>IF(G437="","",ROUNDUP(G437*3,0))</x:f>
        <x:v>225000</x:v>
      </x:c>
      <x:c r="I437" s="41" t="n">
        <x:v>0.667</x:v>
      </x:c>
      <x:c r="J437" s="42" t="n">
        <x:v>108</x:v>
      </x:c>
      <x:c r="K437" s="42" t="n">
        <x:v>112</x:v>
      </x:c>
      <x:c r="L437" s="42" t="n">
        <x:v>118</x:v>
      </x:c>
      <x:c r="M437" s="42" t="n">
        <x:v>68</x:v>
      </x:c>
      <x:c r="N437" s="42" t="n">
        <x:v>72</x:v>
      </x:c>
      <x:c r="O437" s="42" t="n">
        <x:v>47</x:v>
      </x:c>
      <x:c r="P437" s="43" t="n">
        <x:f>IF(COUNT(J437:O437)=0,"",SUM(J437:O437))</x:f>
        <x:v>525</x:v>
      </x:c>
      <x:c r="Q437" s="23" t="str">
        <x:v>3 lignes de spawn</x:v>
      </x:c>
      <x:c r="R437" s="23" t="str">
        <x:v>Il déploie sa gueule béante pour montrer sa force terrifiante. Il soulève d'énormes quantités de sable en attaquant.</x:v>
      </x:c>
      <x:c r="S437" s="23" t="str"/>
      <x:c r="T437" s="23" t="str">
        <x:v>https://pixelmonmod.com/wiki/Hippowdon</x:v>
      </x:c>
    </x:row>
    <x:row r="438" ht="54" customHeight="1">
      <x:c r="A438" s="27" t="n">
        <x:v>451</x:v>
      </x:c>
      <x:c r="B438" s="23" t="str">
        <x:v>Rapion</x:v>
      </x:c>
      <x:c r="C438" s="23" t="str">
        <x:v>Skorupi</x:v>
      </x:c>
      <x:c r="D438" s="23" t="str">
        <x:v>Poison</x:v>
      </x:c>
      <x:c r="E438" s="23" t="str">
        <x:v>Insecte</x:v>
      </x:c>
      <x:c r="F438" s="23" t="str">
        <x:v>Uncommon</x:v>
      </x:c>
      <x:c r="G438" s="45" t="n">
        <x:v>5000</x:v>
      </x:c>
      <x:c r="H438" s="45" t="n">
        <x:f>IF(G438="","",ROUNDUP(G438*3,0))</x:f>
        <x:v>15000</x:v>
      </x:c>
      <x:c r="I438" s="41" t="n">
        <x:v>1</x:v>
      </x:c>
      <x:c r="J438" s="42" t="n">
        <x:v>40</x:v>
      </x:c>
      <x:c r="K438" s="42" t="n">
        <x:v>50</x:v>
      </x:c>
      <x:c r="L438" s="42" t="n">
        <x:v>90</x:v>
      </x:c>
      <x:c r="M438" s="42" t="n">
        <x:v>30</x:v>
      </x:c>
      <x:c r="N438" s="42" t="n">
        <x:v>55</x:v>
      </x:c>
      <x:c r="O438" s="42" t="n">
        <x:v>65</x:v>
      </x:c>
      <x:c r="P438" s="43" t="n">
        <x:f>IF(COUNT(J438:O438)=0,"",SUM(J438:O438))</x:f>
        <x:v>330</x:v>
      </x:c>
      <x:c r="Q438" s="23" t="str">
        <x:v>6 lignes de spawn</x:v>
      </x:c>
      <x:c r="R438" s="23" t="str">
        <x:v>Il agrippe sa proie avec les pinces de sa queue et lui injecte du poison. Il ne lâche prise qu'une fois le venin pleinement actif.</x:v>
      </x:c>
      <x:c r="S438" s="23" t="str"/>
      <x:c r="T438" s="23" t="str">
        <x:v>https://pixelmonmod.com/wiki/Skorupi</x:v>
      </x:c>
    </x:row>
    <x:row r="439" ht="54" customHeight="1">
      <x:c r="A439" s="27" t="n">
        <x:v>452</x:v>
      </x:c>
      <x:c r="B439" s="23" t="str">
        <x:v>Drascore</x:v>
      </x:c>
      <x:c r="C439" s="23" t="str">
        <x:v>Drapion</x:v>
      </x:c>
      <x:c r="D439" s="23" t="str">
        <x:v>Poison</x:v>
      </x:c>
      <x:c r="E439" s="23" t="str">
        <x:v>Ténèbres</x:v>
      </x:c>
      <x:c r="F439" s="23" t="str">
        <x:v>Ultra Rare</x:v>
      </x:c>
      <x:c r="G439" s="45" t="n">
        <x:v>75000</x:v>
      </x:c>
      <x:c r="H439" s="45" t="n">
        <x:f>IF(G439="","",ROUNDUP(G439*3,0))</x:f>
        <x:v>225000</x:v>
      </x:c>
      <x:c r="I439" s="41" t="n">
        <x:v>0.857</x:v>
      </x:c>
      <x:c r="J439" s="42" t="n">
        <x:v>70</x:v>
      </x:c>
      <x:c r="K439" s="42" t="n">
        <x:v>90</x:v>
      </x:c>
      <x:c r="L439" s="42" t="n">
        <x:v>110</x:v>
      </x:c>
      <x:c r="M439" s="42" t="n">
        <x:v>60</x:v>
      </x:c>
      <x:c r="N439" s="42" t="n">
        <x:v>75</x:v>
      </x:c>
      <x:c r="O439" s="42" t="n">
        <x:v>95</x:v>
      </x:c>
      <x:c r="P439" s="43" t="n">
        <x:f>IF(COUNT(J439:O439)=0,"",SUM(J439:O439))</x:f>
        <x:v>500</x:v>
      </x:c>
      <x:c r="Q439" s="23" t="str">
        <x:v>7 lignes de spawn</x:v>
      </x:c>
      <x:c r="R439" s="23" t="str">
        <x:v>Il est très fier de sa force. Même s'il peut mettre en pièces ses ennemis, il préfère les achever avec son poison puissant.</x:v>
      </x:c>
      <x:c r="S439" s="23" t="str"/>
      <x:c r="T439" s="23" t="str">
        <x:v>https://pixelmonmod.com/wiki/Drapion</x:v>
      </x:c>
    </x:row>
    <x:row r="440" ht="54" customHeight="1">
      <x:c r="A440" s="27" t="n">
        <x:v>453</x:v>
      </x:c>
      <x:c r="B440" s="23" t="str">
        <x:v>Cradopaud</x:v>
      </x:c>
      <x:c r="C440" s="23" t="str">
        <x:v>Croagunk</x:v>
      </x:c>
      <x:c r="D440" s="23" t="str">
        <x:v>Poison</x:v>
      </x:c>
      <x:c r="E440" s="23" t="str">
        <x:v>Combat</x:v>
      </x:c>
      <x:c r="F440" s="23" t="str">
        <x:v>Uncommon</x:v>
      </x:c>
      <x:c r="G440" s="45" t="n">
        <x:v>5000</x:v>
      </x:c>
      <x:c r="H440" s="45" t="n">
        <x:f>IF(G440="","",ROUNDUP(G440*3,0))</x:f>
        <x:v>15000</x:v>
      </x:c>
      <x:c r="I440" s="41" t="n">
        <x:v>1</x:v>
      </x:c>
      <x:c r="J440" s="42" t="n">
        <x:v>48</x:v>
      </x:c>
      <x:c r="K440" s="42" t="n">
        <x:v>61</x:v>
      </x:c>
      <x:c r="L440" s="42" t="n">
        <x:v>40</x:v>
      </x:c>
      <x:c r="M440" s="42" t="n">
        <x:v>61</x:v>
      </x:c>
      <x:c r="N440" s="42" t="n">
        <x:v>40</x:v>
      </x:c>
      <x:c r="O440" s="42" t="n">
        <x:v>50</x:v>
      </x:c>
      <x:c r="P440" s="43" t="n">
        <x:f>IF(COUNT(J440:O440)=0,"",SUM(J440:O440))</x:f>
        <x:v>300</x:v>
      </x:c>
      <x:c r="Q440" s="23" t="str">
        <x:v>4 lignes de spawn</x:v>
      </x:c>
      <x:c r="R440" s="23" t="str">
        <x:v>Ses joues contiennent des sacs à poison. Il tente de surprendre ses ennemis pour les piquer avec ses doigts toxiques.</x:v>
      </x:c>
      <x:c r="S440" s="23" t="str"/>
      <x:c r="T440" s="23" t="str">
        <x:v>https://pixelmonmod.com/wiki/Croagunk</x:v>
      </x:c>
    </x:row>
    <x:row r="441" ht="54" customHeight="1">
      <x:c r="A441" s="27" t="n">
        <x:v>454</x:v>
      </x:c>
      <x:c r="B441" s="23" t="str">
        <x:v>Coatox</x:v>
      </x:c>
      <x:c r="C441" s="23" t="str">
        <x:v>Toxicroak</x:v>
      </x:c>
      <x:c r="D441" s="23" t="str">
        <x:v>Poison</x:v>
      </x:c>
      <x:c r="E441" s="23" t="str">
        <x:v>Combat</x:v>
      </x:c>
      <x:c r="F441" s="23" t="str">
        <x:v>Ultra Rare</x:v>
      </x:c>
      <x:c r="G441" s="45" t="n">
        <x:v>75000</x:v>
      </x:c>
      <x:c r="H441" s="45" t="n">
        <x:f>IF(G441="","",ROUNDUP(G441*3,0))</x:f>
        <x:v>225000</x:v>
      </x:c>
      <x:c r="I441" s="41" t="n">
        <x:v>1</x:v>
      </x:c>
      <x:c r="J441" s="42" t="n">
        <x:v>83</x:v>
      </x:c>
      <x:c r="K441" s="42" t="n">
        <x:v>106</x:v>
      </x:c>
      <x:c r="L441" s="42" t="n">
        <x:v>65</x:v>
      </x:c>
      <x:c r="M441" s="42" t="n">
        <x:v>86</x:v>
      </x:c>
      <x:c r="N441" s="42" t="n">
        <x:v>65</x:v>
      </x:c>
      <x:c r="O441" s="42" t="n">
        <x:v>85</x:v>
      </x:c>
      <x:c r="P441" s="43" t="n">
        <x:f>IF(COUNT(J441:O441)=0,"",SUM(J441:O441))</x:f>
        <x:v>490</x:v>
      </x:c>
      <x:c r="Q441" s="23" t="str">
        <x:v>4 lignes de spawn</x:v>
      </x:c>
      <x:c r="R441" s="23" t="str">
        <x:v>Il possède une poche de poison dans sa gorge. Lorsqu'il croasse, le poison s'y mélange pour devenir encore plus puissant.</x:v>
      </x:c>
      <x:c r="S441" s="23" t="str"/>
      <x:c r="T441" s="23" t="str">
        <x:v>https://pixelmonmod.com/wiki/Toxicroak</x:v>
      </x:c>
    </x:row>
    <x:row r="442" ht="54" customHeight="1">
      <x:c r="A442" s="27" t="n">
        <x:v>455</x:v>
      </x:c>
      <x:c r="B442" s="23" t="str">
        <x:v>Vortente</x:v>
      </x:c>
      <x:c r="C442" s="23" t="str">
        <x:v>Carnivine</x:v>
      </x:c>
      <x:c r="D442" s="23" t="str">
        <x:v>Plante</x:v>
      </x:c>
      <x:c r="E442" s="23" t="str"/>
      <x:c r="F442" s="23" t="str">
        <x:v>Uncommon</x:v>
      </x:c>
      <x:c r="G442" s="45" t="n">
        <x:v>5000</x:v>
      </x:c>
      <x:c r="H442" s="45" t="n">
        <x:f>IF(G442="","",ROUNDUP(G442*3,0))</x:f>
        <x:v>15000</x:v>
      </x:c>
      <x:c r="I442" s="41" t="n">
        <x:v>1</x:v>
      </x:c>
      <x:c r="J442" s="42" t="n">
        <x:v>74</x:v>
      </x:c>
      <x:c r="K442" s="42" t="n">
        <x:v>100</x:v>
      </x:c>
      <x:c r="L442" s="42" t="n">
        <x:v>72</x:v>
      </x:c>
      <x:c r="M442" s="42" t="n">
        <x:v>90</x:v>
      </x:c>
      <x:c r="N442" s="42" t="n">
        <x:v>72</x:v>
      </x:c>
      <x:c r="O442" s="42" t="n">
        <x:v>46</x:v>
      </x:c>
      <x:c r="P442" s="43" t="n">
        <x:f>IF(COUNT(J442:O442)=0,"",SUM(J442:O442))</x:f>
        <x:v>454</x:v>
      </x:c>
      <x:c r="Q442" s="23" t="str">
        <x:v>2 lignes de spawn</x:v>
      </x:c>
      <x:c r="R442" s="23" t="str">
        <x:v>Il attire ses proies grâce à sa salive sucrée avant de refermer violemment sa mâchoire. Il lui faut une journée entière pour les dévorer.</x:v>
      </x:c>
      <x:c r="S442" s="23" t="str"/>
      <x:c r="T442" s="23" t="str">
        <x:v>https://pixelmonmod.com/wiki/Carnivine</x:v>
      </x:c>
    </x:row>
    <x:row r="443" ht="54" customHeight="1">
      <x:c r="A443" s="27" t="n">
        <x:v>456</x:v>
      </x:c>
      <x:c r="B443" s="23" t="str">
        <x:v>Écayon</x:v>
      </x:c>
      <x:c r="C443" s="23" t="str">
        <x:v>Finneon</x:v>
      </x:c>
      <x:c r="D443" s="23" t="str">
        <x:v>Eau</x:v>
      </x:c>
      <x:c r="E443" s="23" t="str"/>
      <x:c r="F443" s="23" t="str">
        <x:v>Uncommon</x:v>
      </x:c>
      <x:c r="G443" s="45" t="n">
        <x:v>5000</x:v>
      </x:c>
      <x:c r="H443" s="45" t="n">
        <x:f>IF(G443="","",ROUNDUP(G443*3,0))</x:f>
        <x:v>15000</x:v>
      </x:c>
      <x:c r="I443" s="41" t="n">
        <x:v>0.529</x:v>
      </x:c>
      <x:c r="J443" s="42" t="n">
        <x:v>49</x:v>
      </x:c>
      <x:c r="K443" s="42" t="n">
        <x:v>49</x:v>
      </x:c>
      <x:c r="L443" s="42" t="n">
        <x:v>56</x:v>
      </x:c>
      <x:c r="M443" s="42" t="n">
        <x:v>49</x:v>
      </x:c>
      <x:c r="N443" s="42" t="n">
        <x:v>61</x:v>
      </x:c>
      <x:c r="O443" s="42" t="n">
        <x:v>66</x:v>
      </x:c>
      <x:c r="P443" s="43" t="n">
        <x:f>IF(COUNT(J443:O443)=0,"",SUM(J443:O443))</x:f>
        <x:v>330</x:v>
      </x:c>
      <x:c r="Q443" s="23" t="str">
        <x:v>17 lignes de spawn</x:v>
      </x:c>
      <x:c r="R443" s="23" t="str">
        <x:v>La ligne longeant son flanc peut stocker la lumière du soleil. Elle brille vivement la nuit.</x:v>
      </x:c>
      <x:c r="S443" s="23" t="str"/>
      <x:c r="T443" s="23" t="str">
        <x:v>https://pixelmonmod.com/wiki/Finneon</x:v>
      </x:c>
    </x:row>
    <x:row r="444" ht="54" customHeight="1">
      <x:c r="A444" s="27" t="n">
        <x:v>457</x:v>
      </x:c>
      <x:c r="B444" s="23" t="str">
        <x:v>Luminéon</x:v>
      </x:c>
      <x:c r="C444" s="23" t="str">
        <x:v>Lumineon</x:v>
      </x:c>
      <x:c r="D444" s="23" t="str">
        <x:v>Eau</x:v>
      </x:c>
      <x:c r="E444" s="23" t="str"/>
      <x:c r="F444" s="23" t="str">
        <x:v>Ultra Rare</x:v>
      </x:c>
      <x:c r="G444" s="45" t="n">
        <x:v>75000</x:v>
      </x:c>
      <x:c r="H444" s="45" t="n">
        <x:f>IF(G444="","",ROUNDUP(G444*3,0))</x:f>
        <x:v>225000</x:v>
      </x:c>
      <x:c r="I444" s="41" t="n">
        <x:v>1</x:v>
      </x:c>
      <x:c r="J444" s="42" t="n">
        <x:v>69</x:v>
      </x:c>
      <x:c r="K444" s="42" t="n">
        <x:v>69</x:v>
      </x:c>
      <x:c r="L444" s="42" t="n">
        <x:v>76</x:v>
      </x:c>
      <x:c r="M444" s="42" t="n">
        <x:v>69</x:v>
      </x:c>
      <x:c r="N444" s="42" t="n">
        <x:v>86</x:v>
      </x:c>
      <x:c r="O444" s="42" t="n">
        <x:v>91</x:v>
      </x:c>
      <x:c r="P444" s="43" t="n">
        <x:f>IF(COUNT(J444:O444)=0,"",SUM(J444:O444))</x:f>
        <x:v>460</x:v>
      </x:c>
      <x:c r="Q444" s="23" t="str">
        <x:v>8 lignes de spawn</x:v>
      </x:c>
      <x:c r="R444" s="23" t="str">
        <x:v>Il vit sur le plancher océanique. Il attire ses proies en faisant scintiller les motifs sur ses quatre nageoires caudales.</x:v>
      </x:c>
      <x:c r="S444" s="23" t="str"/>
      <x:c r="T444" s="23" t="str">
        <x:v>https://pixelmonmod.com/wiki/Lumineon</x:v>
      </x:c>
    </x:row>
    <x:row r="445" ht="54" customHeight="1">
      <x:c r="A445" s="27" t="n">
        <x:v>458</x:v>
      </x:c>
      <x:c r="B445" s="23" t="str">
        <x:v>Babimanta</x:v>
      </x:c>
      <x:c r="C445" s="23" t="str">
        <x:v>Mantyke</x:v>
      </x:c>
      <x:c r="D445" s="23" t="str">
        <x:v>Eau</x:v>
      </x:c>
      <x:c r="E445" s="23" t="str">
        <x:v>Vol</x:v>
      </x:c>
      <x:c r="F445" s="23" t="str">
        <x:v>Non classé</x:v>
      </x:c>
      <x:c r="G445" s="45"/>
      <x:c r="H445" s="45" t="str">
        <x:f>IF(G445="","",ROUNDUP(G445*3,0))</x:f>
      </x:c>
      <x:c r="I445" s="41"/>
      <x:c r="J445" s="42" t="n">
        <x:v>45</x:v>
      </x:c>
      <x:c r="K445" s="42" t="n">
        <x:v>20</x:v>
      </x:c>
      <x:c r="L445" s="42" t="n">
        <x:v>50</x:v>
      </x:c>
      <x:c r="M445" s="42" t="n">
        <x:v>60</x:v>
      </x:c>
      <x:c r="N445" s="42" t="n">
        <x:v>120</x:v>
      </x:c>
      <x:c r="O445" s="42" t="n">
        <x:v>50</x:v>
      </x:c>
      <x:c r="P445" s="43" t="n">
        <x:f>IF(COUNT(J445:O445)=0,"",SUM(J445:O445))</x:f>
        <x:v>345</x:v>
      </x:c>
      <x:c r="Q445" s="23" t="str">
        <x:v>Aucune ligne classée</x:v>
      </x:c>
      <x:c r="R445" s="23" t="str">
        <x:v>Le motif sur son dos varie selon la région. Il nage souvent en banc avec des Rémoraid.</x:v>
      </x:c>
      <x:c r="S445" s="23" t="str">
        <x:v>Aucune rareté wiki exploitable; prix à fixer.</x:v>
      </x:c>
      <x:c r="T445" s="23" t="str">
        <x:v>https://pixelmonmod.com/wiki/Mantyke</x:v>
      </x:c>
    </x:row>
    <x:row r="446" ht="54" customHeight="1">
      <x:c r="A446" s="27" t="n">
        <x:v>459</x:v>
      </x:c>
      <x:c r="B446" s="23" t="str">
        <x:v>Blizzi</x:v>
      </x:c>
      <x:c r="C446" s="23" t="str">
        <x:v>Snover</x:v>
      </x:c>
      <x:c r="D446" s="23" t="str">
        <x:v>Plante</x:v>
      </x:c>
      <x:c r="E446" s="23" t="str">
        <x:v>Glace</x:v>
      </x:c>
      <x:c r="F446" s="23" t="str">
        <x:v>Uncommon</x:v>
      </x:c>
      <x:c r="G446" s="45" t="n">
        <x:v>5000</x:v>
      </x:c>
      <x:c r="H446" s="45" t="n">
        <x:f>IF(G446="","",ROUNDUP(G446*3,0))</x:f>
        <x:v>15000</x:v>
      </x:c>
      <x:c r="I446" s="41" t="n">
        <x:v>1</x:v>
      </x:c>
      <x:c r="J446" s="42" t="n">
        <x:v>60</x:v>
      </x:c>
      <x:c r="K446" s="42" t="n">
        <x:v>62</x:v>
      </x:c>
      <x:c r="L446" s="42" t="n">
        <x:v>50</x:v>
      </x:c>
      <x:c r="M446" s="42" t="n">
        <x:v>62</x:v>
      </x:c>
      <x:c r="N446" s="42" t="n">
        <x:v>60</x:v>
      </x:c>
      <x:c r="O446" s="42" t="n">
        <x:v>40</x:v>
      </x:c>
      <x:c r="P446" s="43" t="n">
        <x:f>IF(COUNT(J446:O446)=0,"",SUM(J446:O446))</x:f>
        <x:v>334</x:v>
      </x:c>
      <x:c r="Q446" s="23" t="str">
        <x:v>5 lignes de spawn</x:v>
      </x:c>
      <x:c r="R446" s="23" t="str">
        <x:v>En hiver, il migre vers les basses montagnes. Il retourne au sommet enneigé au printemps.</x:v>
      </x:c>
      <x:c r="S446" s="23" t="str"/>
      <x:c r="T446" s="23" t="str">
        <x:v>https://pixelmonmod.com/wiki/Snover</x:v>
      </x:c>
    </x:row>
    <x:row r="447" ht="54" customHeight="1">
      <x:c r="A447" s="27" t="n">
        <x:v>460</x:v>
      </x:c>
      <x:c r="B447" s="23" t="str">
        <x:v>Blizzaroi</x:v>
      </x:c>
      <x:c r="C447" s="23" t="str">
        <x:v>Abomasnow</x:v>
      </x:c>
      <x:c r="D447" s="23" t="str">
        <x:v>Plante</x:v>
      </x:c>
      <x:c r="E447" s="23" t="str">
        <x:v>Glace</x:v>
      </x:c>
      <x:c r="F447" s="23" t="str">
        <x:v>Ultra Rare</x:v>
      </x:c>
      <x:c r="G447" s="45" t="n">
        <x:v>75000</x:v>
      </x:c>
      <x:c r="H447" s="45" t="n">
        <x:f>IF(G447="","",ROUNDUP(G447*3,0))</x:f>
        <x:v>225000</x:v>
      </x:c>
      <x:c r="I447" s="41" t="n">
        <x:v>1</x:v>
      </x:c>
      <x:c r="J447" s="42" t="n">
        <x:v>90</x:v>
      </x:c>
      <x:c r="K447" s="42" t="n">
        <x:v>92</x:v>
      </x:c>
      <x:c r="L447" s="42" t="n">
        <x:v>75</x:v>
      </x:c>
      <x:c r="M447" s="42" t="n">
        <x:v>92</x:v>
      </x:c>
      <x:c r="N447" s="42" t="n">
        <x:v>85</x:v>
      </x:c>
      <x:c r="O447" s="42" t="n">
        <x:v>60</x:v>
      </x:c>
      <x:c r="P447" s="43" t="n">
        <x:f>IF(COUNT(J447:O447)=0,"",SUM(J447:O447))</x:f>
        <x:v>494</x:v>
      </x:c>
      <x:c r="Q447" s="23" t="str">
        <x:v>7 lignes de spawn</x:v>
      </x:c>
      <x:c r="R447" s="23" t="str">
        <x:v>Il recouvre de vastes zones de neige en déclenchant des blizzards. On le connaît aussi sous le nom de « Monstre de Glace ».</x:v>
      </x:c>
      <x:c r="S447" s="23" t="str"/>
      <x:c r="T447" s="23" t="str">
        <x:v>https://pixelmonmod.com/wiki/Abomasnow</x:v>
      </x:c>
    </x:row>
    <x:row r="448" ht="54" customHeight="1">
      <x:c r="A448" s="27" t="n">
        <x:v>461</x:v>
      </x:c>
      <x:c r="B448" s="23" t="str">
        <x:v>Dimoret</x:v>
      </x:c>
      <x:c r="C448" s="23" t="str">
        <x:v>Weavile</x:v>
      </x:c>
      <x:c r="D448" s="23" t="str">
        <x:v>Ténèbres</x:v>
      </x:c>
      <x:c r="E448" s="23" t="str">
        <x:v>Glace</x:v>
      </x:c>
      <x:c r="F448" s="23" t="str">
        <x:v>Ultra Rare</x:v>
      </x:c>
      <x:c r="G448" s="45" t="n">
        <x:v>75000</x:v>
      </x:c>
      <x:c r="H448" s="45" t="n">
        <x:f>IF(G448="","",ROUNDUP(G448*3,0))</x:f>
        <x:v>225000</x:v>
      </x:c>
      <x:c r="I448" s="41" t="n">
        <x:v>1</x:v>
      </x:c>
      <x:c r="J448" s="42" t="n">
        <x:v>70</x:v>
      </x:c>
      <x:c r="K448" s="42" t="n">
        <x:v>120</x:v>
      </x:c>
      <x:c r="L448" s="42" t="n">
        <x:v>65</x:v>
      </x:c>
      <x:c r="M448" s="42" t="n">
        <x:v>45</x:v>
      </x:c>
      <x:c r="N448" s="42" t="n">
        <x:v>85</x:v>
      </x:c>
      <x:c r="O448" s="42" t="n">
        <x:v>125</x:v>
      </x:c>
      <x:c r="P448" s="43" t="n">
        <x:f>IF(COUNT(J448:O448)=0,"",SUM(J448:O448))</x:f>
        <x:v>510</x:v>
      </x:c>
      <x:c r="Q448" s="23" t="str">
        <x:v>2 lignes de spawn</x:v>
      </x:c>
      <x:c r="R448" s="23" t="str">
        <x:v>Il vit dans les régions enneigées. Il grave des motifs dans les arbres avec ses griffes pour communiquer avec ses congénères.</x:v>
      </x:c>
      <x:c r="S448" s="23" t="str"/>
      <x:c r="T448" s="23" t="str">
        <x:v>https://pixelmonmod.com/wiki/Weavile</x:v>
      </x:c>
    </x:row>
    <x:row r="449" ht="54" customHeight="1">
      <x:c r="A449" s="27" t="n">
        <x:v>462</x:v>
      </x:c>
      <x:c r="B449" s="23" t="str">
        <x:v>Magnézone</x:v>
      </x:c>
      <x:c r="C449" s="23" t="str">
        <x:v>Magnezone</x:v>
      </x:c>
      <x:c r="D449" s="23" t="str">
        <x:v>Électrik</x:v>
      </x:c>
      <x:c r="E449" s="23" t="str">
        <x:v>Acier</x:v>
      </x:c>
      <x:c r="F449" s="23" t="str">
        <x:v>Ultra Rare</x:v>
      </x:c>
      <x:c r="G449" s="45" t="n">
        <x:v>75000</x:v>
      </x:c>
      <x:c r="H449" s="45" t="n">
        <x:f>IF(G449="","",ROUNDUP(G449*3,0))</x:f>
        <x:v>225000</x:v>
      </x:c>
      <x:c r="I449" s="41" t="n">
        <x:v>1</x:v>
      </x:c>
      <x:c r="J449" s="42" t="n">
        <x:v>70</x:v>
      </x:c>
      <x:c r="K449" s="42" t="n">
        <x:v>70</x:v>
      </x:c>
      <x:c r="L449" s="42" t="n">
        <x:v>115</x:v>
      </x:c>
      <x:c r="M449" s="42" t="n">
        <x:v>130</x:v>
      </x:c>
      <x:c r="N449" s="42" t="n">
        <x:v>90</x:v>
      </x:c>
      <x:c r="O449" s="42" t="n">
        <x:v>60</x:v>
      </x:c>
      <x:c r="P449" s="43" t="n">
        <x:f>IF(COUNT(J449:O449)=0,"",SUM(J449:O449))</x:f>
        <x:v>535</x:v>
      </x:c>
      <x:c r="Q449" s="23" t="str">
        <x:v>4 lignes de spawn</x:v>
      </x:c>
      <x:c r="R449" s="23" t="str">
        <x:v>Parfois, le magnétisme que dégage Magnézone est si fort qu'ils s'attirent mutuellement au point de ne plus pouvoir bouger.</x:v>
      </x:c>
      <x:c r="S449" s="23" t="str"/>
      <x:c r="T449" s="23" t="str">
        <x:v>https://pixelmonmod.com/wiki/Magnezone</x:v>
      </x:c>
    </x:row>
    <x:row r="450" ht="54" customHeight="1">
      <x:c r="A450" s="27" t="n">
        <x:v>463</x:v>
      </x:c>
      <x:c r="B450" s="23" t="str">
        <x:v>Coudlangue</x:v>
      </x:c>
      <x:c r="C450" s="23" t="str">
        <x:v>Lickilicky</x:v>
      </x:c>
      <x:c r="D450" s="23" t="str">
        <x:v>Normal</x:v>
      </x:c>
      <x:c r="E450" s="23" t="str"/>
      <x:c r="F450" s="23" t="str">
        <x:v>Ultra Rare</x:v>
      </x:c>
      <x:c r="G450" s="45" t="n">
        <x:v>75000</x:v>
      </x:c>
      <x:c r="H450" s="45" t="n">
        <x:f>IF(G450="","",ROUNDUP(G450*3,0))</x:f>
        <x:v>225000</x:v>
      </x:c>
      <x:c r="I450" s="41" t="n">
        <x:v>1</x:v>
      </x:c>
      <x:c r="J450" s="42" t="n">
        <x:v>110</x:v>
      </x:c>
      <x:c r="K450" s="42" t="n">
        <x:v>85</x:v>
      </x:c>
      <x:c r="L450" s="42" t="n">
        <x:v>95</x:v>
      </x:c>
      <x:c r="M450" s="42" t="n">
        <x:v>80</x:v>
      </x:c>
      <x:c r="N450" s="42" t="n">
        <x:v>95</x:v>
      </x:c>
      <x:c r="O450" s="42" t="n">
        <x:v>50</x:v>
      </x:c>
      <x:c r="P450" s="43" t="n">
        <x:f>IF(COUNT(J450:O450)=0,"",SUM(J450:O450))</x:f>
        <x:v>515</x:v>
      </x:c>
      <x:c r="Q450" s="23" t="str">
        <x:v>1 lignes de spawn</x:v>
      </x:c>
      <x:c r="R450" s="23" t="str">
        <x:v>Il enroule les choses avec sa langue extensible. S'en approcher trop près vous laissera trempé de bave.</x:v>
      </x:c>
      <x:c r="S450" s="23" t="str"/>
      <x:c r="T450" s="23" t="str">
        <x:v>https://pixelmonmod.com/wiki/Lickilicky</x:v>
      </x:c>
    </x:row>
    <x:row r="451" ht="54" customHeight="1">
      <x:c r="A451" s="27" t="n">
        <x:v>464</x:v>
      </x:c>
      <x:c r="B451" s="23" t="str">
        <x:v>Rhinastoc</x:v>
      </x:c>
      <x:c r="C451" s="23" t="str">
        <x:v>Rhyperior</x:v>
      </x:c>
      <x:c r="D451" s="23" t="str">
        <x:v>Sol</x:v>
      </x:c>
      <x:c r="E451" s="23" t="str">
        <x:v>Roche</x:v>
      </x:c>
      <x:c r="F451" s="23" t="str">
        <x:v>Non classé</x:v>
      </x:c>
      <x:c r="G451" s="45"/>
      <x:c r="H451" s="45" t="str">
        <x:f>IF(G451="","",ROUNDUP(G451*3,0))</x:f>
      </x:c>
      <x:c r="I451" s="41"/>
      <x:c r="J451" s="42" t="n">
        <x:v>115</x:v>
      </x:c>
      <x:c r="K451" s="42" t="n">
        <x:v>140</x:v>
      </x:c>
      <x:c r="L451" s="42" t="n">
        <x:v>130</x:v>
      </x:c>
      <x:c r="M451" s="42" t="n">
        <x:v>55</x:v>
      </x:c>
      <x:c r="N451" s="42" t="n">
        <x:v>55</x:v>
      </x:c>
      <x:c r="O451" s="42" t="n">
        <x:v>40</x:v>
      </x:c>
      <x:c r="P451" s="43" t="n">
        <x:f>IF(COUNT(J451:O451)=0,"",SUM(J451:O451))</x:f>
        <x:v>535</x:v>
      </x:c>
      <x:c r="Q451" s="23" t="str">
        <x:v>Aucune ligne classée</x:v>
      </x:c>
      <x:c r="R451" s="23" t="str">
        <x:v>Il projette des Racaillou depuis les trous de ses paumes. Sa carapace peut résister à une éruption volcanique.</x:v>
      </x:c>
      <x:c r="S451" s="23" t="str">
        <x:v>Aucune rareté wiki exploitable; prix à fixer.</x:v>
      </x:c>
      <x:c r="T451" s="23" t="str">
        <x:v>https://pixelmonmod.com/wiki/Rhyperior</x:v>
      </x:c>
    </x:row>
    <x:row r="452" ht="54" customHeight="1">
      <x:c r="A452" s="27" t="n">
        <x:v>465</x:v>
      </x:c>
      <x:c r="B452" s="23" t="str">
        <x:v>Bouldeneu</x:v>
      </x:c>
      <x:c r="C452" s="23" t="str">
        <x:v>Tangrowth</x:v>
      </x:c>
      <x:c r="D452" s="23" t="str">
        <x:v>Plante</x:v>
      </x:c>
      <x:c r="E452" s="23" t="str"/>
      <x:c r="F452" s="23" t="str">
        <x:v>Ultra Rare</x:v>
      </x:c>
      <x:c r="G452" s="45" t="n">
        <x:v>75000</x:v>
      </x:c>
      <x:c r="H452" s="45" t="n">
        <x:f>IF(G452="","",ROUNDUP(G452*3,0))</x:f>
        <x:v>225000</x:v>
      </x:c>
      <x:c r="I452" s="41" t="n">
        <x:v>0.667</x:v>
      </x:c>
      <x:c r="J452" s="42" t="n">
        <x:v>100</x:v>
      </x:c>
      <x:c r="K452" s="42" t="n">
        <x:v>100</x:v>
      </x:c>
      <x:c r="L452" s="42" t="n">
        <x:v>125</x:v>
      </x:c>
      <x:c r="M452" s="42" t="n">
        <x:v>110</x:v>
      </x:c>
      <x:c r="N452" s="42" t="n">
        <x:v>50</x:v>
      </x:c>
      <x:c r="O452" s="42" t="n">
        <x:v>50</x:v>
      </x:c>
      <x:c r="P452" s="43" t="n">
        <x:f>IF(COUNT(J452:O452)=0,"",SUM(J452:O452))</x:f>
        <x:v>535</x:v>
      </x:c>
      <x:c r="Q452" s="23" t="str">
        <x:v>3 lignes de spawn</x:v>
      </x:c>
      <x:c r="R452" s="23" t="str">
        <x:v>Il capture ses proies en étendant des bras faits de lianes. Perdre des bras face aux prédateurs ne le dérange pas.</x:v>
      </x:c>
      <x:c r="S452" s="23" t="str"/>
      <x:c r="T452" s="23" t="str">
        <x:v>https://pixelmonmod.com/wiki/Tangrowth</x:v>
      </x:c>
    </x:row>
    <x:row r="453" ht="54" customHeight="1">
      <x:c r="A453" s="27" t="n">
        <x:v>466</x:v>
      </x:c>
      <x:c r="B453" s="23" t="str">
        <x:v>Élekable</x:v>
      </x:c>
      <x:c r="C453" s="23" t="str">
        <x:v>Electivire</x:v>
      </x:c>
      <x:c r="D453" s="23" t="str">
        <x:v>Électrik</x:v>
      </x:c>
      <x:c r="E453" s="23" t="str"/>
      <x:c r="F453" s="23" t="str">
        <x:v>Ultra Rare</x:v>
      </x:c>
      <x:c r="G453" s="45" t="n">
        <x:v>75000</x:v>
      </x:c>
      <x:c r="H453" s="45" t="n">
        <x:f>IF(G453="","",ROUNDUP(G453*3,0))</x:f>
        <x:v>225000</x:v>
      </x:c>
      <x:c r="I453" s="41" t="n">
        <x:v>1</x:v>
      </x:c>
      <x:c r="J453" s="42" t="n">
        <x:v>75</x:v>
      </x:c>
      <x:c r="K453" s="42" t="n">
        <x:v>123</x:v>
      </x:c>
      <x:c r="L453" s="42" t="n">
        <x:v>67</x:v>
      </x:c>
      <x:c r="M453" s="42" t="n">
        <x:v>95</x:v>
      </x:c>
      <x:c r="N453" s="42" t="n">
        <x:v>85</x:v>
      </x:c>
      <x:c r="O453" s="42" t="n">
        <x:v>95</x:v>
      </x:c>
      <x:c r="P453" s="43" t="n">
        <x:f>IF(COUNT(J453:O453)=0,"",SUM(J453:O453))</x:f>
        <x:v>540</x:v>
      </x:c>
      <x:c r="Q453" s="23" t="str">
        <x:v>2 lignes de spawn</x:v>
      </x:c>
      <x:c r="R453" s="23" t="str">
        <x:v>Quand sa charge électrique s'intensifie, des étincelles bleues crépitent entre ses cornes.</x:v>
      </x:c>
      <x:c r="S453" s="23" t="str"/>
      <x:c r="T453" s="23" t="str">
        <x:v>https://pixelmonmod.com/wiki/Electivire</x:v>
      </x:c>
    </x:row>
    <x:row r="454" ht="54" customHeight="1">
      <x:c r="A454" s="27" t="n">
        <x:v>467</x:v>
      </x:c>
      <x:c r="B454" s="23" t="str">
        <x:v>Maganon</x:v>
      </x:c>
      <x:c r="C454" s="23" t="str">
        <x:v>Magmortar</x:v>
      </x:c>
      <x:c r="D454" s="23" t="str">
        <x:v>Feu</x:v>
      </x:c>
      <x:c r="E454" s="23" t="str"/>
      <x:c r="F454" s="23" t="str">
        <x:v>Ultra Rare</x:v>
      </x:c>
      <x:c r="G454" s="45" t="n">
        <x:v>75000</x:v>
      </x:c>
      <x:c r="H454" s="45" t="n">
        <x:f>IF(G454="","",ROUNDUP(G454*3,0))</x:f>
        <x:v>225000</x:v>
      </x:c>
      <x:c r="I454" s="41" t="n">
        <x:v>1</x:v>
      </x:c>
      <x:c r="J454" s="42" t="n">
        <x:v>75</x:v>
      </x:c>
      <x:c r="K454" s="42" t="n">
        <x:v>95</x:v>
      </x:c>
      <x:c r="L454" s="42" t="n">
        <x:v>67</x:v>
      </x:c>
      <x:c r="M454" s="42" t="n">
        <x:v>125</x:v>
      </x:c>
      <x:c r="N454" s="42" t="n">
        <x:v>95</x:v>
      </x:c>
      <x:c r="O454" s="42" t="n">
        <x:v>83</x:v>
      </x:c>
      <x:c r="P454" s="43" t="n">
        <x:f>IF(COUNT(J454:O454)=0,"",SUM(J454:O454))</x:f>
        <x:v>540</x:v>
      </x:c>
      <x:c r="Q454" s="23" t="str">
        <x:v>1 lignes de spawn</x:v>
      </x:c>
      <x:c r="R454" s="23" t="str">
        <x:v>Il projette des boules de feu dépassant les 2 000 °C depuis l'extrémité de ses bras. Il vit dans les cratères volcaniques.</x:v>
      </x:c>
      <x:c r="S454" s="23" t="str"/>
      <x:c r="T454" s="23" t="str">
        <x:v>https://pixelmonmod.com/wiki/Magmortar</x:v>
      </x:c>
    </x:row>
    <x:row r="455" ht="54" customHeight="1">
      <x:c r="A455" s="27" t="n">
        <x:v>468</x:v>
      </x:c>
      <x:c r="B455" s="23" t="str">
        <x:v>Togekiss</x:v>
      </x:c>
      <x:c r="C455" s="23" t="str">
        <x:v>Togekiss</x:v>
      </x:c>
      <x:c r="D455" s="23" t="str">
        <x:v>Fée</x:v>
      </x:c>
      <x:c r="E455" s="23" t="str">
        <x:v>Vol</x:v>
      </x:c>
      <x:c r="F455" s="23" t="str">
        <x:v>Ultra Rare</x:v>
      </x:c>
      <x:c r="G455" s="45" t="n">
        <x:v>75000</x:v>
      </x:c>
      <x:c r="H455" s="45" t="n">
        <x:f>IF(G455="","",ROUNDUP(G455*3,0))</x:f>
        <x:v>225000</x:v>
      </x:c>
      <x:c r="I455" s="41" t="n">
        <x:v>1</x:v>
      </x:c>
      <x:c r="J455" s="42" t="n">
        <x:v>85</x:v>
      </x:c>
      <x:c r="K455" s="42" t="n">
        <x:v>50</x:v>
      </x:c>
      <x:c r="L455" s="42" t="n">
        <x:v>95</x:v>
      </x:c>
      <x:c r="M455" s="42" t="n">
        <x:v>120</x:v>
      </x:c>
      <x:c r="N455" s="42" t="n">
        <x:v>115</x:v>
      </x:c>
      <x:c r="O455" s="42" t="n">
        <x:v>80</x:v>
      </x:c>
      <x:c r="P455" s="43" t="n">
        <x:f>IF(COUNT(J455:O455)=0,"",SUM(J455:O455))</x:f>
        <x:v>545</x:v>
      </x:c>
      <x:c r="Q455" s="23" t="str">
        <x:v>3 lignes de spawn</x:v>
      </x:c>
      <x:c r="R455" s="23" t="str">
        <x:v>Comme chacun le sait, il visite les régions paisibles et leur apporte des présents empreints de douceur et de bienveillance.</x:v>
      </x:c>
      <x:c r="S455" s="23" t="str"/>
      <x:c r="T455" s="23" t="str">
        <x:v>https://pixelmonmod.com/wiki/Togekiss</x:v>
      </x:c>
    </x:row>
    <x:row r="456" ht="54" customHeight="1">
      <x:c r="A456" s="27" t="n">
        <x:v>469</x:v>
      </x:c>
      <x:c r="B456" s="23" t="str">
        <x:v>Yanmega</x:v>
      </x:c>
      <x:c r="C456" s="23" t="str">
        <x:v>Yanmega</x:v>
      </x:c>
      <x:c r="D456" s="23" t="str">
        <x:v>Insecte</x:v>
      </x:c>
      <x:c r="E456" s="23" t="str">
        <x:v>Vol</x:v>
      </x:c>
      <x:c r="F456" s="23" t="str">
        <x:v>Ultra Rare</x:v>
      </x:c>
      <x:c r="G456" s="45" t="n">
        <x:v>75000</x:v>
      </x:c>
      <x:c r="H456" s="45" t="n">
        <x:f>IF(G456="","",ROUNDUP(G456*3,0))</x:f>
        <x:v>225000</x:v>
      </x:c>
      <x:c r="I456" s="41" t="n">
        <x:v>1</x:v>
      </x:c>
      <x:c r="J456" s="42" t="n">
        <x:v>86</x:v>
      </x:c>
      <x:c r="K456" s="42" t="n">
        <x:v>76</x:v>
      </x:c>
      <x:c r="L456" s="42" t="n">
        <x:v>86</x:v>
      </x:c>
      <x:c r="M456" s="42" t="n">
        <x:v>116</x:v>
      </x:c>
      <x:c r="N456" s="42" t="n">
        <x:v>56</x:v>
      </x:c>
      <x:c r="O456" s="42" t="n">
        <x:v>95</x:v>
      </x:c>
      <x:c r="P456" s="43" t="n">
        <x:f>IF(COUNT(J456:O456)=0,"",SUM(J456:O456))</x:f>
        <x:v>515</x:v>
      </x:c>
      <x:c r="Q456" s="23" t="str">
        <x:v>4 lignes de spawn</x:v>
      </x:c>
      <x:c r="R456" s="23" t="str">
        <x:v>Il préfère se battre en arrachant la tête de ses ennemis d'un coup de mâchoire en passant à grande vitesse.</x:v>
      </x:c>
      <x:c r="S456" s="23" t="str"/>
      <x:c r="T456" s="23" t="str">
        <x:v>https://pixelmonmod.com/wiki/Yanmega</x:v>
      </x:c>
    </x:row>
    <x:row r="457" ht="54" customHeight="1">
      <x:c r="A457" s="27" t="n">
        <x:v>470</x:v>
      </x:c>
      <x:c r="B457" s="23" t="str">
        <x:v>Phyllali</x:v>
      </x:c>
      <x:c r="C457" s="23" t="str">
        <x:v>Leafeon</x:v>
      </x:c>
      <x:c r="D457" s="23" t="str">
        <x:v>Plante</x:v>
      </x:c>
      <x:c r="E457" s="23" t="str"/>
      <x:c r="F457" s="23" t="str">
        <x:v>Ultra Rare</x:v>
      </x:c>
      <x:c r="G457" s="45" t="n">
        <x:v>75000</x:v>
      </x:c>
      <x:c r="H457" s="45" t="n">
        <x:f>IF(G457="","",ROUNDUP(G457*3,0))</x:f>
        <x:v>225000</x:v>
      </x:c>
      <x:c r="I457" s="41" t="n">
        <x:v>0.833</x:v>
      </x:c>
      <x:c r="J457" s="42" t="n">
        <x:v>65</x:v>
      </x:c>
      <x:c r="K457" s="42" t="n">
        <x:v>110</x:v>
      </x:c>
      <x:c r="L457" s="42" t="n">
        <x:v>130</x:v>
      </x:c>
      <x:c r="M457" s="42" t="n">
        <x:v>60</x:v>
      </x:c>
      <x:c r="N457" s="42" t="n">
        <x:v>65</x:v>
      </x:c>
      <x:c r="O457" s="42" t="n">
        <x:v>95</x:v>
      </x:c>
      <x:c r="P457" s="43" t="n">
        <x:f>IF(COUNT(J457:O457)=0,"",SUM(J457:O457))</x:f>
        <x:v>525</x:v>
      </x:c>
      <x:c r="Q457" s="23" t="str">
        <x:v>6 lignes de spawn</x:v>
      </x:c>
      <x:c r="R457" s="23" t="str">
        <x:v>Si vous voyez un Phyllali endormi dans un rayon de soleil, c'est qu'il utilise la photosynthèse pour purifier l'air.</x:v>
      </x:c>
      <x:c r="S457" s="23" t="str"/>
      <x:c r="T457" s="23" t="str">
        <x:v>https://pixelmonmod.com/wiki/Leafeon</x:v>
      </x:c>
    </x:row>
    <x:row r="458" ht="54" customHeight="1">
      <x:c r="A458" s="27" t="n">
        <x:v>471</x:v>
      </x:c>
      <x:c r="B458" s="23" t="str">
        <x:v>Givrali</x:v>
      </x:c>
      <x:c r="C458" s="23" t="str">
        <x:v>Glaceon</x:v>
      </x:c>
      <x:c r="D458" s="23" t="str">
        <x:v>Glace</x:v>
      </x:c>
      <x:c r="E458" s="23" t="str"/>
      <x:c r="F458" s="23" t="str">
        <x:v>Very Rare / Ultra Rare</x:v>
      </x:c>
      <x:c r="G458" s="45" t="n">
        <x:v>75000</x:v>
      </x:c>
      <x:c r="H458" s="45" t="n">
        <x:f>IF(G458="","",ROUNDUP(G458*3,0))</x:f>
        <x:v>225000</x:v>
      </x:c>
      <x:c r="I458" s="41" t="n">
        <x:v>0.5</x:v>
      </x:c>
      <x:c r="J458" s="42" t="n">
        <x:v>65</x:v>
      </x:c>
      <x:c r="K458" s="42" t="n">
        <x:v>60</x:v>
      </x:c>
      <x:c r="L458" s="42" t="n">
        <x:v>110</x:v>
      </x:c>
      <x:c r="M458" s="42" t="n">
        <x:v>130</x:v>
      </x:c>
      <x:c r="N458" s="42" t="n">
        <x:v>95</x:v>
      </x:c>
      <x:c r="O458" s="42" t="n">
        <x:v>65</x:v>
      </x:c>
      <x:c r="P458" s="43" t="n">
        <x:f>IF(COUNT(J458:O458)=0,"",SUM(J458:O458))</x:f>
        <x:v>525</x:v>
      </x:c>
      <x:c r="Q458" s="23" t="str">
        <x:v>2 lignes de spawn</x:v>
      </x:c>
      <x:c r="R458" s="23" t="str">
        <x:v>En contrôlant sa température corporelle, il peut geler l'atmosphère autour de lui pour créer une bourrasque de poudre de diamant.</x:v>
      </x:c>
      <x:c r="S458" s="23" t="str">
        <x:v>Égalité de fréquence; prix provisoire basé sur le palier le plus élevé. Very Rare aligné sur le palier Super Rare (provisoire).</x:v>
      </x:c>
      <x:c r="T458" s="23" t="str">
        <x:v>https://pixelmonmod.com/wiki/Glaceon</x:v>
      </x:c>
    </x:row>
    <x:row r="459" ht="54" customHeight="1">
      <x:c r="A459" s="27" t="n">
        <x:v>472</x:v>
      </x:c>
      <x:c r="B459" s="23" t="str">
        <x:v>Scorvol</x:v>
      </x:c>
      <x:c r="C459" s="23" t="str">
        <x:v>Gliscor</x:v>
      </x:c>
      <x:c r="D459" s="23" t="str">
        <x:v>Sol</x:v>
      </x:c>
      <x:c r="E459" s="23" t="str">
        <x:v>Vol</x:v>
      </x:c>
      <x:c r="F459" s="23" t="str">
        <x:v>Ultra Rare</x:v>
      </x:c>
      <x:c r="G459" s="45" t="n">
        <x:v>75000</x:v>
      </x:c>
      <x:c r="H459" s="45" t="n">
        <x:f>IF(G459="","",ROUNDUP(G459*3,0))</x:f>
        <x:v>225000</x:v>
      </x:c>
      <x:c r="I459" s="41" t="n">
        <x:v>0.667</x:v>
      </x:c>
      <x:c r="J459" s="42" t="n">
        <x:v>75</x:v>
      </x:c>
      <x:c r="K459" s="42" t="n">
        <x:v>95</x:v>
      </x:c>
      <x:c r="L459" s="42" t="n">
        <x:v>125</x:v>
      </x:c>
      <x:c r="M459" s="42" t="n">
        <x:v>45</x:v>
      </x:c>
      <x:c r="N459" s="42" t="n">
        <x:v>75</x:v>
      </x:c>
      <x:c r="O459" s="42" t="n">
        <x:v>95</x:v>
      </x:c>
      <x:c r="P459" s="43" t="n">
        <x:f>IF(COUNT(J459:O459)=0,"",SUM(J459:O459))</x:f>
        <x:v>510</x:v>
      </x:c>
      <x:c r="Q459" s="23" t="str">
        <x:v>3 lignes de spawn</x:v>
      </x:c>
      <x:c r="R459" s="23" t="str">
        <x:v>Il observe ses proies en restant suspendu la tête en bas aux branches. Quand l'occasion se présente, il fond sur elles !</x:v>
      </x:c>
      <x:c r="S459" s="23" t="str"/>
      <x:c r="T459" s="23" t="str">
        <x:v>https://pixelmonmod.com/wiki/Gliscor</x:v>
      </x:c>
    </x:row>
    <x:row r="460" ht="54" customHeight="1">
      <x:c r="A460" s="27" t="n">
        <x:v>473</x:v>
      </x:c>
      <x:c r="B460" s="23" t="str">
        <x:v>Mammochon</x:v>
      </x:c>
      <x:c r="C460" s="23" t="str">
        <x:v>Mamoswine</x:v>
      </x:c>
      <x:c r="D460" s="23" t="str">
        <x:v>Glace</x:v>
      </x:c>
      <x:c r="E460" s="23" t="str">
        <x:v>Sol</x:v>
      </x:c>
      <x:c r="F460" s="23" t="str">
        <x:v>Ultra Rare</x:v>
      </x:c>
      <x:c r="G460" s="45" t="n">
        <x:v>75000</x:v>
      </x:c>
      <x:c r="H460" s="45" t="n">
        <x:f>IF(G460="","",ROUNDUP(G460*3,0))</x:f>
        <x:v>225000</x:v>
      </x:c>
      <x:c r="I460" s="41" t="n">
        <x:v>1</x:v>
      </x:c>
      <x:c r="J460" s="42" t="n">
        <x:v>110</x:v>
      </x:c>
      <x:c r="K460" s="42" t="n">
        <x:v>130</x:v>
      </x:c>
      <x:c r="L460" s="42" t="n">
        <x:v>80</x:v>
      </x:c>
      <x:c r="M460" s="42" t="n">
        <x:v>70</x:v>
      </x:c>
      <x:c r="N460" s="42" t="n">
        <x:v>60</x:v>
      </x:c>
      <x:c r="O460" s="42" t="n">
        <x:v>80</x:v>
      </x:c>
      <x:c r="P460" s="43" t="n">
        <x:f>IF(COUNT(J460:O460)=0,"",SUM(J460:O460))</x:f>
        <x:v>530</x:v>
      </x:c>
      <x:c r="Q460" s="23" t="str">
        <x:v>4 lignes de spawn</x:v>
      </x:c>
      <x:c r="R460" s="23" t="str">
        <x:v>Un Mammochon gelé a été extrait d'une glace vieille de 10 000 ans. Ce Pokémon existe depuis très, très, très longtemps.</x:v>
      </x:c>
      <x:c r="S460" s="23" t="str"/>
      <x:c r="T460" s="23" t="str">
        <x:v>https://pixelmonmod.com/wiki/Mamoswine</x:v>
      </x:c>
    </x:row>
    <x:row r="461" ht="54" customHeight="1">
      <x:c r="A461" s="27" t="n">
        <x:v>474</x:v>
      </x:c>
      <x:c r="B461" s="23" t="str">
        <x:v>Porygon-Z</x:v>
      </x:c>
      <x:c r="C461" s="23" t="str">
        <x:v>Porygon-Z</x:v>
      </x:c>
      <x:c r="D461" s="23" t="str">
        <x:v>Normal</x:v>
      </x:c>
      <x:c r="E461" s="23" t="str"/>
      <x:c r="F461" s="23" t="str">
        <x:v>Ultra Rare</x:v>
      </x:c>
      <x:c r="G461" s="45" t="n">
        <x:v>75000</x:v>
      </x:c>
      <x:c r="H461" s="45" t="n">
        <x:f>IF(G461="","",ROUNDUP(G461*3,0))</x:f>
        <x:v>225000</x:v>
      </x:c>
      <x:c r="I461" s="41" t="n">
        <x:v>1</x:v>
      </x:c>
      <x:c r="J461" s="42" t="n">
        <x:v>85</x:v>
      </x:c>
      <x:c r="K461" s="42" t="n">
        <x:v>80</x:v>
      </x:c>
      <x:c r="L461" s="42" t="n">
        <x:v>70</x:v>
      </x:c>
      <x:c r="M461" s="42" t="n">
        <x:v>135</x:v>
      </x:c>
      <x:c r="N461" s="42" t="n">
        <x:v>75</x:v>
      </x:c>
      <x:c r="O461" s="42" t="n">
        <x:v>90</x:v>
      </x:c>
      <x:c r="P461" s="43" t="n">
        <x:f>IF(COUNT(J461:O461)=0,"",SUM(J461:O461))</x:f>
        <x:v>535</x:v>
      </x:c>
      <x:c r="Q461" s="23" t="str">
        <x:v>1 lignes de spawn</x:v>
      </x:c>
      <x:c r="R461" s="23" t="str">
        <x:v>Des logiciels supplémentaires ont été installés pour en faire un meilleur Pokémon. Cependant, il a commencé à agir de manière étrange.</x:v>
      </x:c>
      <x:c r="S461" s="23" t="str"/>
      <x:c r="T461" s="23" t="str">
        <x:v>https://pixelmonmod.com/wiki/Porygon-Z</x:v>
      </x:c>
    </x:row>
    <x:row r="462" ht="54" customHeight="1">
      <x:c r="A462" s="27" t="n">
        <x:v>475</x:v>
      </x:c>
      <x:c r="B462" s="23" t="str">
        <x:v>Gallame</x:v>
      </x:c>
      <x:c r="C462" s="23" t="str">
        <x:v>Gallade</x:v>
      </x:c>
      <x:c r="D462" s="23" t="str">
        <x:v>Psy</x:v>
      </x:c>
      <x:c r="E462" s="23" t="str">
        <x:v>Combat</x:v>
      </x:c>
      <x:c r="F462" s="23" t="str">
        <x:v>Ultra Rare</x:v>
      </x:c>
      <x:c r="G462" s="45" t="n">
        <x:v>75000</x:v>
      </x:c>
      <x:c r="H462" s="45" t="n">
        <x:f>IF(G462="","",ROUNDUP(G462*3,0))</x:f>
        <x:v>225000</x:v>
      </x:c>
      <x:c r="I462" s="41" t="n">
        <x:v>1</x:v>
      </x:c>
      <x:c r="J462" s="42" t="n">
        <x:v>68</x:v>
      </x:c>
      <x:c r="K462" s="42" t="n">
        <x:v>125</x:v>
      </x:c>
      <x:c r="L462" s="42" t="n">
        <x:v>65</x:v>
      </x:c>
      <x:c r="M462" s="42" t="n">
        <x:v>65</x:v>
      </x:c>
      <x:c r="N462" s="42" t="n">
        <x:v>115</x:v>
      </x:c>
      <x:c r="O462" s="42" t="n">
        <x:v>80</x:v>
      </x:c>
      <x:c r="P462" s="43" t="n">
        <x:f>IF(COUNT(J462:O462)=0,"",SUM(J462:O462))</x:f>
        <x:v>518</x:v>
      </x:c>
      <x:c r="Q462" s="23" t="str">
        <x:v>4 lignes de spawn</x:v>
      </x:c>
      <x:c r="R462" s="23" t="str">
        <x:v>Comme il peut percevoir les pensées de son adversaire, ses attaques jaillissent en premier, rapides et féroces.</x:v>
      </x:c>
      <x:c r="S462" s="23" t="str"/>
      <x:c r="T462" s="23" t="str">
        <x:v>https://pixelmonmod.com/wiki/Gallade</x:v>
      </x:c>
    </x:row>
    <x:row r="463" ht="54" customHeight="1">
      <x:c r="A463" s="27" t="n">
        <x:v>476</x:v>
      </x:c>
      <x:c r="B463" s="23" t="str">
        <x:v>Tarinorme</x:v>
      </x:c>
      <x:c r="C463" s="23" t="str">
        <x:v>Probopass</x:v>
      </x:c>
      <x:c r="D463" s="23" t="str">
        <x:v>Roche</x:v>
      </x:c>
      <x:c r="E463" s="23" t="str">
        <x:v>Acier</x:v>
      </x:c>
      <x:c r="F463" s="23" t="str">
        <x:v>Ultra Rare</x:v>
      </x:c>
      <x:c r="G463" s="45" t="n">
        <x:v>75000</x:v>
      </x:c>
      <x:c r="H463" s="45" t="n">
        <x:f>IF(G463="","",ROUNDUP(G463*3,0))</x:f>
        <x:v>225000</x:v>
      </x:c>
      <x:c r="I463" s="41" t="n">
        <x:v>1</x:v>
      </x:c>
      <x:c r="J463" s="42" t="n">
        <x:v>60</x:v>
      </x:c>
      <x:c r="K463" s="42" t="n">
        <x:v>55</x:v>
      </x:c>
      <x:c r="L463" s="42" t="n">
        <x:v>145</x:v>
      </x:c>
      <x:c r="M463" s="42" t="n">
        <x:v>75</x:v>
      </x:c>
      <x:c r="N463" s="42" t="n">
        <x:v>150</x:v>
      </x:c>
      <x:c r="O463" s="42" t="n">
        <x:v>40</x:v>
      </x:c>
      <x:c r="P463" s="43" t="n">
        <x:f>IF(COUNT(J463:O463)=0,"",SUM(J463:O463))</x:f>
        <x:v>525</x:v>
      </x:c>
      <x:c r="Q463" s="23" t="str">
        <x:v>6 lignes de spawn</x:v>
      </x:c>
      <x:c r="R463" s="23" t="str">
        <x:v>Il dégage un fort magnétisme de tout son corps. Il contrôle trois petites unités appelées Mini-Narines.</x:v>
      </x:c>
      <x:c r="S463" s="23" t="str"/>
      <x:c r="T463" s="23" t="str">
        <x:v>https://pixelmonmod.com/wiki/Probopass</x:v>
      </x:c>
    </x:row>
    <x:row r="464" ht="54" customHeight="1">
      <x:c r="A464" s="27" t="n">
        <x:v>477</x:v>
      </x:c>
      <x:c r="B464" s="23" t="str">
        <x:v>Noctunoir</x:v>
      </x:c>
      <x:c r="C464" s="23" t="str">
        <x:v>Dusknoir</x:v>
      </x:c>
      <x:c r="D464" s="23" t="str">
        <x:v>Spectre</x:v>
      </x:c>
      <x:c r="E464" s="23" t="str"/>
      <x:c r="F464" s="23" t="str">
        <x:v>Ultra Rare</x:v>
      </x:c>
      <x:c r="G464" s="45" t="n">
        <x:v>75000</x:v>
      </x:c>
      <x:c r="H464" s="45" t="n">
        <x:f>IF(G464="","",ROUNDUP(G464*3,0))</x:f>
        <x:v>225000</x:v>
      </x:c>
      <x:c r="I464" s="41" t="n">
        <x:v>1</x:v>
      </x:c>
      <x:c r="J464" s="42" t="n">
        <x:v>45</x:v>
      </x:c>
      <x:c r="K464" s="42" t="n">
        <x:v>100</x:v>
      </x:c>
      <x:c r="L464" s="42" t="n">
        <x:v>135</x:v>
      </x:c>
      <x:c r="M464" s="42" t="n">
        <x:v>65</x:v>
      </x:c>
      <x:c r="N464" s="42" t="n">
        <x:v>135</x:v>
      </x:c>
      <x:c r="O464" s="42" t="n">
        <x:v>45</x:v>
      </x:c>
      <x:c r="P464" s="43" t="n">
        <x:f>IF(COUNT(J464:O464)=0,"",SUM(J464:O464))</x:f>
        <x:v>525</x:v>
      </x:c>
      <x:c r="Q464" s="23" t="str">
        <x:v>3 lignes de spawn</x:v>
      </x:c>
      <x:c r="R464" s="23" t="str">
        <x:v>On raconte qu'il absorbe les esprits égarés dans son corps malléable pour les guider vers leur foyer.</x:v>
      </x:c>
      <x:c r="S464" s="23" t="str"/>
      <x:c r="T464" s="23" t="str">
        <x:v>https://pixelmonmod.com/wiki/Dusknoir</x:v>
      </x:c>
    </x:row>
    <x:row r="465" ht="54" customHeight="1">
      <x:c r="A465" s="27" t="n">
        <x:v>478</x:v>
      </x:c>
      <x:c r="B465" s="23" t="str">
        <x:v>Momartik</x:v>
      </x:c>
      <x:c r="C465" s="23" t="str">
        <x:v>Froslass</x:v>
      </x:c>
      <x:c r="D465" s="23" t="str">
        <x:v>Glace</x:v>
      </x:c>
      <x:c r="E465" s="23" t="str">
        <x:v>Spectre</x:v>
      </x:c>
      <x:c r="F465" s="23" t="str">
        <x:v>Ultra Rare</x:v>
      </x:c>
      <x:c r="G465" s="45" t="n">
        <x:v>75000</x:v>
      </x:c>
      <x:c r="H465" s="45" t="n">
        <x:f>IF(G465="","",ROUNDUP(G465*3,0))</x:f>
        <x:v>225000</x:v>
      </x:c>
      <x:c r="I465" s="41" t="n">
        <x:v>1</x:v>
      </x:c>
      <x:c r="J465" s="42" t="n">
        <x:v>70</x:v>
      </x:c>
      <x:c r="K465" s="42" t="n">
        <x:v>80</x:v>
      </x:c>
      <x:c r="L465" s="42" t="n">
        <x:v>70</x:v>
      </x:c>
      <x:c r="M465" s="42" t="n">
        <x:v>80</x:v>
      </x:c>
      <x:c r="N465" s="42" t="n">
        <x:v>70</x:v>
      </x:c>
      <x:c r="O465" s="42" t="n">
        <x:v>110</x:v>
      </x:c>
      <x:c r="P465" s="43" t="n">
        <x:f>IF(COUNT(J465:O465)=0,"",SUM(J465:O465))</x:f>
        <x:v>480</x:v>
      </x:c>
      <x:c r="Q465" s="23" t="str">
        <x:v>2 lignes de spawn</x:v>
      </x:c>
      <x:c r="R465" s="23" t="str">
        <x:v>Il gèle ses ennemis avec un souffle glacé avoisinant –50 °C. Ce qui semble être son corps est en réalité creux.</x:v>
      </x:c>
      <x:c r="S465" s="23" t="str"/>
      <x:c r="T465" s="23" t="str">
        <x:v>https://pixelmonmod.com/wiki/Froslass</x:v>
      </x:c>
    </x:row>
    <x:row r="466" ht="54" customHeight="1">
      <x:c r="A466" s="27" t="n">
        <x:v>479</x:v>
      </x:c>
      <x:c r="B466" s="23" t="str">
        <x:v>Motisma</x:v>
      </x:c>
      <x:c r="C466" s="23" t="str">
        <x:v>Rotom</x:v>
      </x:c>
      <x:c r="D466" s="23" t="str">
        <x:v>Électrik</x:v>
      </x:c>
      <x:c r="E466" s="23" t="str">
        <x:v>Spectre</x:v>
      </x:c>
      <x:c r="F466" s="23" t="str">
        <x:v>Very Rare</x:v>
      </x:c>
      <x:c r="G466" s="45" t="n">
        <x:v>30000</x:v>
      </x:c>
      <x:c r="H466" s="45" t="n">
        <x:f>IF(G466="","",ROUNDUP(G466*3,0))</x:f>
        <x:v>90000</x:v>
      </x:c>
      <x:c r="I466" s="41" t="n">
        <x:v>1</x:v>
      </x:c>
      <x:c r="J466" s="42" t="n">
        <x:v>50</x:v>
      </x:c>
      <x:c r="K466" s="42" t="n">
        <x:v>50</x:v>
      </x:c>
      <x:c r="L466" s="42" t="n">
        <x:v>77</x:v>
      </x:c>
      <x:c r="M466" s="42" t="n">
        <x:v>95</x:v>
      </x:c>
      <x:c r="N466" s="42" t="n">
        <x:v>77</x:v>
      </x:c>
      <x:c r="O466" s="42" t="n">
        <x:v>91</x:v>
      </x:c>
      <x:c r="P466" s="43" t="n">
        <x:f>IF(COUNT(J466:O466)=0,"",SUM(J466:O466))</x:f>
        <x:v>440</x:v>
      </x:c>
      <x:c r="Q466" s="23" t="str">
        <x:v>2 lignes de spawn</x:v>
      </x:c>
      <x:c r="R466" s="23" t="str">
        <x:v>Les recherches continuent sur ce Pokémon, qui pourrait alimenter un moteur unique en son genre.</x:v>
      </x:c>
      <x:c r="S466" s="23" t="str">
        <x:v>Very Rare aligné sur le palier Super Rare (provisoire).</x:v>
      </x:c>
      <x:c r="T466" s="23" t="str">
        <x:v>https://pixelmonmod.com/wiki/Rotom</x:v>
      </x:c>
    </x:row>
    <x:row r="467" ht="54" customHeight="1">
      <x:c r="A467" s="27" t="n">
        <x:v>489</x:v>
      </x:c>
      <x:c r="B467" s="23" t="str">
        <x:v>Phione</x:v>
      </x:c>
      <x:c r="C467" s="23" t="str">
        <x:v>Phione</x:v>
      </x:c>
      <x:c r="D467" s="23" t="str">
        <x:v>Eau</x:v>
      </x:c>
      <x:c r="E467" s="23" t="str"/>
      <x:c r="F467" s="23" t="str">
        <x:v>Non classé</x:v>
      </x:c>
      <x:c r="G467" s="45"/>
      <x:c r="H467" s="45" t="str">
        <x:f>IF(G467="","",ROUNDUP(G467*3,0))</x:f>
      </x:c>
      <x:c r="I467" s="41"/>
      <x:c r="J467" s="42" t="n">
        <x:v>80</x:v>
      </x:c>
      <x:c r="K467" s="42" t="n">
        <x:v>80</x:v>
      </x:c>
      <x:c r="L467" s="42" t="n">
        <x:v>80</x:v>
      </x:c>
      <x:c r="M467" s="42" t="n">
        <x:v>80</x:v>
      </x:c>
      <x:c r="N467" s="42" t="n">
        <x:v>80</x:v>
      </x:c>
      <x:c r="O467" s="42" t="n">
        <x:v>80</x:v>
      </x:c>
      <x:c r="P467" s="43" t="n">
        <x:f>IF(COUNT(J467:O467)=0,"",SUM(J467:O467))</x:f>
        <x:v>480</x:v>
      </x:c>
      <x:c r="Q467" s="23" t="str">
        <x:v>Aucune ligne classée</x:v>
      </x:c>
      <x:c r="R467" s="23" t="str">
        <x:v>Quand l'eau se réchauffe, ils gonflent la poche de flottaison sur leur tête et dérivent langoureusement en groupe sur la mer.</x:v>
      </x:c>
      <x:c r="S467" s="23" t="str">
        <x:v>Fabuleux : vente et prix à valider.</x:v>
      </x:c>
      <x:c r="T467" s="23" t="str">
        <x:v>https://pixelmonmod.com/wiki/Phione</x:v>
      </x:c>
    </x:row>
    <x:row r="468" ht="54" customHeight="1">
      <x:c r="A468" s="27" t="n">
        <x:v>490</x:v>
      </x:c>
      <x:c r="B468" s="23" t="str">
        <x:v>Manaphy</x:v>
      </x:c>
      <x:c r="C468" s="23" t="str">
        <x:v>Manaphy</x:v>
      </x:c>
      <x:c r="D468" s="23" t="str">
        <x:v>Eau</x:v>
      </x:c>
      <x:c r="E468" s="23" t="str"/>
      <x:c r="F468" s="23" t="str">
        <x:v>Non classé</x:v>
      </x:c>
      <x:c r="G468" s="45"/>
      <x:c r="H468" s="45" t="str">
        <x:f>IF(G468="","",ROUNDUP(G468*3,0))</x:f>
      </x:c>
      <x:c r="I468" s="41"/>
      <x:c r="J468" s="42" t="n">
        <x:v>100</x:v>
      </x:c>
      <x:c r="K468" s="42" t="n">
        <x:v>100</x:v>
      </x:c>
      <x:c r="L468" s="42" t="n">
        <x:v>100</x:v>
      </x:c>
      <x:c r="M468" s="42" t="n">
        <x:v>100</x:v>
      </x:c>
      <x:c r="N468" s="42" t="n">
        <x:v>100</x:v>
      </x:c>
      <x:c r="O468" s="42" t="n">
        <x:v>100</x:v>
      </x:c>
      <x:c r="P468" s="43" t="n">
        <x:f>IF(COUNT(J468:O468)=0,"",SUM(J468:O468))</x:f>
        <x:v>600</x:v>
      </x:c>
      <x:c r="Q468" s="23" t="str">
        <x:v>Aucune ligne classée</x:v>
      </x:c>
      <x:c r="R468" s="23" t="str">
        <x:v>Il naît avec un pouvoir extraordinaire qui lui permet de créer des liens avec tout type de Pokémon.</x:v>
      </x:c>
      <x:c r="S468" s="23" t="str">
        <x:v>Fabuleux : vente et prix à valider.</x:v>
      </x:c>
      <x:c r="T468" s="23" t="str">
        <x:v>https://pixelmonmod.com/wiki/Manaphy</x:v>
      </x:c>
    </x:row>
    <x:row r="469" ht="54" customHeight="1">
      <x:c r="A469" s="27" t="n">
        <x:v>491</x:v>
      </x:c>
      <x:c r="B469" s="23" t="str">
        <x:v>Darkrai</x:v>
      </x:c>
      <x:c r="C469" s="23" t="str">
        <x:v>Darkrai</x:v>
      </x:c>
      <x:c r="D469" s="23" t="str">
        <x:v>Ténèbres</x:v>
      </x:c>
      <x:c r="E469" s="23" t="str"/>
      <x:c r="F469" s="23" t="str">
        <x:v>Non classé</x:v>
      </x:c>
      <x:c r="G469" s="45"/>
      <x:c r="H469" s="45" t="str">
        <x:f>IF(G469="","",ROUNDUP(G469*3,0))</x:f>
      </x:c>
      <x:c r="I469" s="41"/>
      <x:c r="J469" s="42" t="n">
        <x:v>70</x:v>
      </x:c>
      <x:c r="K469" s="42" t="n">
        <x:v>90</x:v>
      </x:c>
      <x:c r="L469" s="42" t="n">
        <x:v>90</x:v>
      </x:c>
      <x:c r="M469" s="42" t="n">
        <x:v>135</x:v>
      </x:c>
      <x:c r="N469" s="42" t="n">
        <x:v>90</x:v>
      </x:c>
      <x:c r="O469" s="42" t="n">
        <x:v>125</x:v>
      </x:c>
      <x:c r="P469" s="43" t="n">
        <x:f>IF(COUNT(J469:O469)=0,"",SUM(J469:O469))</x:f>
        <x:v>600</x:v>
      </x:c>
      <x:c r="Q469" s="23" t="str">
        <x:v>Aucune ligne classée</x:v>
      </x:c>
      <x:c r="R469" s="23" t="str">
        <x:v>Il chasse les gens et les Pokémon de son territoire en leur faisant vivre de profonds sommeils cauchemardesques.</x:v>
      </x:c>
      <x:c r="S469" s="23" t="str">
        <x:v>Fabuleux : vente et prix à valider.</x:v>
      </x:c>
      <x:c r="T469" s="23" t="str">
        <x:v>https://pixelmonmod.com/wiki/Darkrai</x:v>
      </x:c>
    </x:row>
    <x:row r="470" ht="54" customHeight="1">
      <x:c r="A470" s="27" t="n">
        <x:v>492</x:v>
      </x:c>
      <x:c r="B470" s="23" t="str">
        <x:v>Shaymin</x:v>
      </x:c>
      <x:c r="C470" s="23" t="str">
        <x:v>Shaymin</x:v>
      </x:c>
      <x:c r="D470" s="23" t="str">
        <x:v>Plante</x:v>
      </x:c>
      <x:c r="E470" s="23" t="str"/>
      <x:c r="F470" s="23" t="str">
        <x:v>Non classé</x:v>
      </x:c>
      <x:c r="G470" s="45"/>
      <x:c r="H470" s="45" t="str">
        <x:f>IF(G470="","",ROUNDUP(G470*3,0))</x:f>
      </x:c>
      <x:c r="I470" s="41"/>
      <x:c r="J470" s="42" t="n">
        <x:v>100</x:v>
      </x:c>
      <x:c r="K470" s="42" t="n">
        <x:v>100</x:v>
      </x:c>
      <x:c r="L470" s="42" t="n">
        <x:v>100</x:v>
      </x:c>
      <x:c r="M470" s="42" t="n">
        <x:v>100</x:v>
      </x:c>
      <x:c r="N470" s="42" t="n">
        <x:v>100</x:v>
      </x:c>
      <x:c r="O470" s="42" t="n">
        <x:v>100</x:v>
      </x:c>
      <x:c r="P470" s="43" t="n">
        <x:f>IF(COUNT(J470:O470)=0,"",SUM(J470:O470))</x:f>
        <x:v>600</x:v>
      </x:c>
      <x:c r="Q470" s="23" t="str">
        <x:v>Aucune ligne classée</x:v>
      </x:c>
      <x:c r="R470" s="23" t="str">
        <x:v>Il peut purifier les toxines présentes dans l'air et transformer instantanément une terre ravagée en un vaste champ de fleurs.</x:v>
      </x:c>
      <x:c r="S470" s="23" t="str">
        <x:v>Fabuleux : vente et prix à valider.</x:v>
      </x:c>
      <x:c r="T470" s="23" t="str">
        <x:v>https://pixelmonmod.com/wiki/Shaymin</x:v>
      </x:c>
    </x:row>
    <x:row r="471" ht="54" customHeight="1">
      <x:c r="A471" s="27" t="n">
        <x:v>493</x:v>
      </x:c>
      <x:c r="B471" s="23" t="str">
        <x:v>Arceus</x:v>
      </x:c>
      <x:c r="C471" s="23" t="str">
        <x:v>Arceus</x:v>
      </x:c>
      <x:c r="D471" s="23" t="str">
        <x:v>Normal</x:v>
      </x:c>
      <x:c r="E471" s="23" t="str"/>
      <x:c r="F471" s="23" t="str">
        <x:v>Non classé</x:v>
      </x:c>
      <x:c r="G471" s="45"/>
      <x:c r="H471" s="45" t="str">
        <x:f>IF(G471="","",ROUNDUP(G471*3,0))</x:f>
      </x:c>
      <x:c r="I471" s="41"/>
      <x:c r="J471" s="42" t="n">
        <x:v>120</x:v>
      </x:c>
      <x:c r="K471" s="42" t="n">
        <x:v>120</x:v>
      </x:c>
      <x:c r="L471" s="42" t="n">
        <x:v>120</x:v>
      </x:c>
      <x:c r="M471" s="42" t="n">
        <x:v>120</x:v>
      </x:c>
      <x:c r="N471" s="42" t="n">
        <x:v>120</x:v>
      </x:c>
      <x:c r="O471" s="42" t="n">
        <x:v>120</x:v>
      </x:c>
      <x:c r="P471" s="43" t="n">
        <x:f>IF(COUNT(J471:O471)=0,"",SUM(J471:O471))</x:f>
        <x:v>720</x:v>
      </x:c>
      <x:c r="Q471" s="23" t="str">
        <x:v>Aucune ligne classée</x:v>
      </x:c>
      <x:c r="R471" s="23" t="str">
        <x:v>Selon la légende, ce Pokémon est apparu d'un œuf et a façonné tout ce qui existe dans ce monde.</x:v>
      </x:c>
      <x:c r="S471" s="23" t="str">
        <x:v>Fabuleux : vente et prix à valider.</x:v>
      </x:c>
      <x:c r="T471" s="23" t="str">
        <x:v>https://pixelmonmod.com/wiki/Arceus</x:v>
      </x:c>
    </x:row>
    <x:row r="472" ht="54" customHeight="1">
      <x:c r="A472" s="27" t="n">
        <x:v>494</x:v>
      </x:c>
      <x:c r="B472" s="23" t="str">
        <x:v>Victini</x:v>
      </x:c>
      <x:c r="C472" s="23" t="str">
        <x:v>Victini</x:v>
      </x:c>
      <x:c r="D472" s="23" t="str">
        <x:v>Psy</x:v>
      </x:c>
      <x:c r="E472" s="23" t="str">
        <x:v>Feu</x:v>
      </x:c>
      <x:c r="F472" s="23" t="str">
        <x:v>Non classé</x:v>
      </x:c>
      <x:c r="G472" s="45"/>
      <x:c r="H472" s="45" t="str">
        <x:f>IF(G472="","",ROUNDUP(G472*3,0))</x:f>
      </x:c>
      <x:c r="I472" s="41"/>
      <x:c r="J472" s="42" t="n">
        <x:v>100</x:v>
      </x:c>
      <x:c r="K472" s="42" t="n">
        <x:v>100</x:v>
      </x:c>
      <x:c r="L472" s="42" t="n">
        <x:v>100</x:v>
      </x:c>
      <x:c r="M472" s="42" t="n">
        <x:v>100</x:v>
      </x:c>
      <x:c r="N472" s="42" t="n">
        <x:v>100</x:v>
      </x:c>
      <x:c r="O472" s="42" t="n">
        <x:v>100</x:v>
      </x:c>
      <x:c r="P472" s="43" t="n">
        <x:f>IF(COUNT(J472:O472)=0,"",SUM(J472:O472))</x:f>
        <x:v>600</x:v>
      </x:c>
      <x:c r="Q472" s="23" t="str">
        <x:v>Aucune ligne classée</x:v>
      </x:c>
      <x:c r="R472" s="23" t="str">
        <x:v>Ce Pokémon apporte la victoire. On dit que les Dresseurs ayant un Victini gagnent toujours, peu importe le type d'affrontement.</x:v>
      </x:c>
      <x:c r="S472" s="23" t="str">
        <x:v>Fabuleux : vente et prix à valider.</x:v>
      </x:c>
      <x:c r="T472" s="23" t="str">
        <x:v>https://pixelmonmod.com/wiki/Victini</x:v>
      </x:c>
    </x:row>
    <x:row r="473" ht="54" customHeight="1">
      <x:c r="A473" s="27" t="n">
        <x:v>495</x:v>
      </x:c>
      <x:c r="B473" s="23" t="str">
        <x:v>Vipélierre</x:v>
      </x:c>
      <x:c r="C473" s="23" t="str">
        <x:v>Snivy</x:v>
      </x:c>
      <x:c r="D473" s="23" t="str">
        <x:v>Plante</x:v>
      </x:c>
      <x:c r="E473" s="23" t="str"/>
      <x:c r="F473" s="23" t="str">
        <x:v>Ultra Rare</x:v>
      </x:c>
      <x:c r="G473" s="45" t="n">
        <x:v>75000</x:v>
      </x:c>
      <x:c r="H473" s="45" t="n">
        <x:f>IF(G473="","",ROUNDUP(G473*3,0))</x:f>
        <x:v>225000</x:v>
      </x:c>
      <x:c r="I473" s="41" t="n">
        <x:v>1</x:v>
      </x:c>
      <x:c r="J473" s="42" t="n">
        <x:v>45</x:v>
      </x:c>
      <x:c r="K473" s="42" t="n">
        <x:v>45</x:v>
      </x:c>
      <x:c r="L473" s="42" t="n">
        <x:v>55</x:v>
      </x:c>
      <x:c r="M473" s="42" t="n">
        <x:v>45</x:v>
      </x:c>
      <x:c r="N473" s="42" t="n">
        <x:v>55</x:v>
      </x:c>
      <x:c r="O473" s="42" t="n">
        <x:v>63</x:v>
      </x:c>
      <x:c r="P473" s="43" t="n">
        <x:f>IF(COUNT(J473:O473)=0,"",SUM(J473:O473))</x:f>
        <x:v>308</x:v>
      </x:c>
      <x:c r="Q473" s="23" t="str">
        <x:v>3 lignes de spawn</x:v>
      </x:c>
      <x:c r="R473" s="23" t="str">
        <x:v>Exposé au soleil, il devient plus rapide. Il utilise ses lianes avec bien plus d'habileté que ses mains.</x:v>
      </x:c>
      <x:c r="S473" s="23" t="str"/>
      <x:c r="T473" s="23" t="str">
        <x:v>https://pixelmonmod.com/wiki/Snivy</x:v>
      </x:c>
    </x:row>
    <x:row r="474" ht="54" customHeight="1">
      <x:c r="A474" s="27" t="n">
        <x:v>496</x:v>
      </x:c>
      <x:c r="B474" s="23" t="str">
        <x:v>Lianaja</x:v>
      </x:c>
      <x:c r="C474" s="23" t="str">
        <x:v>Servine</x:v>
      </x:c>
      <x:c r="D474" s="23" t="str">
        <x:v>Plante</x:v>
      </x:c>
      <x:c r="E474" s="23" t="str"/>
      <x:c r="F474" s="23" t="str">
        <x:v>Ultra Rare</x:v>
      </x:c>
      <x:c r="G474" s="45" t="n">
        <x:v>75000</x:v>
      </x:c>
      <x:c r="H474" s="45" t="n">
        <x:f>IF(G474="","",ROUNDUP(G474*3,0))</x:f>
        <x:v>225000</x:v>
      </x:c>
      <x:c r="I474" s="41" t="n">
        <x:v>1</x:v>
      </x:c>
      <x:c r="J474" s="42" t="n">
        <x:v>60</x:v>
      </x:c>
      <x:c r="K474" s="42" t="n">
        <x:v>60</x:v>
      </x:c>
      <x:c r="L474" s="42" t="n">
        <x:v>75</x:v>
      </x:c>
      <x:c r="M474" s="42" t="n">
        <x:v>60</x:v>
      </x:c>
      <x:c r="N474" s="42" t="n">
        <x:v>75</x:v>
      </x:c>
      <x:c r="O474" s="42" t="n">
        <x:v>83</x:v>
      </x:c>
      <x:c r="P474" s="43" t="n">
        <x:f>IF(COUNT(J474:O474)=0,"",SUM(J474:O474))</x:f>
        <x:v>413</x:v>
      </x:c>
      <x:c r="Q474" s="23" t="str">
        <x:v>3 lignes de spawn</x:v>
      </x:c>
      <x:c r="R474" s="23" t="str">
        <x:v>Il glisse sur le sol avec aisance. Ses mouvements rapides troublent l'ennemi, puis il attaque d'un coup de Fouet Lianes.</x:v>
      </x:c>
      <x:c r="S474" s="23" t="str"/>
      <x:c r="T474" s="23" t="str">
        <x:v>https://pixelmonmod.com/wiki/Servine</x:v>
      </x:c>
    </x:row>
    <x:row r="475" ht="54" customHeight="1">
      <x:c r="A475" s="27" t="n">
        <x:v>497</x:v>
      </x:c>
      <x:c r="B475" s="23" t="str">
        <x:v>Majaspic</x:v>
      </x:c>
      <x:c r="C475" s="23" t="str">
        <x:v>Serperior</x:v>
      </x:c>
      <x:c r="D475" s="23" t="str">
        <x:v>Plante</x:v>
      </x:c>
      <x:c r="E475" s="23" t="str"/>
      <x:c r="F475" s="23" t="str">
        <x:v>Ultra Rare</x:v>
      </x:c>
      <x:c r="G475" s="45" t="n">
        <x:v>75000</x:v>
      </x:c>
      <x:c r="H475" s="45" t="n">
        <x:f>IF(G475="","",ROUNDUP(G475*3,0))</x:f>
        <x:v>225000</x:v>
      </x:c>
      <x:c r="I475" s="41" t="n">
        <x:v>1</x:v>
      </x:c>
      <x:c r="J475" s="42" t="n">
        <x:v>75</x:v>
      </x:c>
      <x:c r="K475" s="42" t="n">
        <x:v>75</x:v>
      </x:c>
      <x:c r="L475" s="42" t="n">
        <x:v>95</x:v>
      </x:c>
      <x:c r="M475" s="42" t="n">
        <x:v>75</x:v>
      </x:c>
      <x:c r="N475" s="42" t="n">
        <x:v>95</x:v>
      </x:c>
      <x:c r="O475" s="42" t="n">
        <x:v>113</x:v>
      </x:c>
      <x:c r="P475" s="43" t="n">
        <x:f>IF(COUNT(J475:O475)=0,"",SUM(J475:O475))</x:f>
        <x:v>528</x:v>
      </x:c>
      <x:c r="Q475" s="23" t="str">
        <x:v>3 lignes de spawn</x:v>
      </x:c>
      <x:c r="R475" s="23" t="str">
        <x:v>Il ne se donne à fond que face à des adversaires suffisamment forts pour ne pas être intimidés par le regard noble et perçant de Majaspic.</x:v>
      </x:c>
      <x:c r="S475" s="23" t="str"/>
      <x:c r="T475" s="23" t="str">
        <x:v>https://pixelmonmod.com/wiki/Serperior</x:v>
      </x:c>
    </x:row>
    <x:row r="476" ht="54" customHeight="1">
      <x:c r="A476" s="27" t="n">
        <x:v>498</x:v>
      </x:c>
      <x:c r="B476" s="23" t="str">
        <x:v>Gruikui</x:v>
      </x:c>
      <x:c r="C476" s="23" t="str">
        <x:v>Tepig</x:v>
      </x:c>
      <x:c r="D476" s="23" t="str">
        <x:v>Feu</x:v>
      </x:c>
      <x:c r="E476" s="23" t="str"/>
      <x:c r="F476" s="23" t="str">
        <x:v>Ultra Rare</x:v>
      </x:c>
      <x:c r="G476" s="45" t="n">
        <x:v>75000</x:v>
      </x:c>
      <x:c r="H476" s="45" t="n">
        <x:f>IF(G476="","",ROUNDUP(G476*3,0))</x:f>
        <x:v>225000</x:v>
      </x:c>
      <x:c r="I476" s="41" t="n">
        <x:v>1</x:v>
      </x:c>
      <x:c r="J476" s="42" t="n">
        <x:v>65</x:v>
      </x:c>
      <x:c r="K476" s="42" t="n">
        <x:v>63</x:v>
      </x:c>
      <x:c r="L476" s="42" t="n">
        <x:v>45</x:v>
      </x:c>
      <x:c r="M476" s="42" t="n">
        <x:v>45</x:v>
      </x:c>
      <x:c r="N476" s="42" t="n">
        <x:v>45</x:v>
      </x:c>
      <x:c r="O476" s="42" t="n">
        <x:v>45</x:v>
      </x:c>
      <x:c r="P476" s="43" t="n">
        <x:f>IF(COUNT(J476:O476)=0,"",SUM(J476:O476))</x:f>
        <x:v>308</x:v>
      </x:c>
      <x:c r="Q476" s="23" t="str">
        <x:v>1 lignes de spawn</x:v>
      </x:c>
      <x:c r="R476" s="23" t="str">
        <x:v>Il esquive habilement les attaques ennemies tout en tirant des boules de feu depuis son nez. Il rôtit les Baies avant de les manger.</x:v>
      </x:c>
      <x:c r="S476" s="23" t="str"/>
      <x:c r="T476" s="23" t="str">
        <x:v>https://pixelmonmod.com/wiki/Tepig</x:v>
      </x:c>
    </x:row>
    <x:row r="477" ht="54" customHeight="1">
      <x:c r="A477" s="27" t="n">
        <x:v>499</x:v>
      </x:c>
      <x:c r="B477" s="23" t="str">
        <x:v>Grotichon</x:v>
      </x:c>
      <x:c r="C477" s="23" t="str">
        <x:v>Pignite</x:v>
      </x:c>
      <x:c r="D477" s="23" t="str">
        <x:v>Feu</x:v>
      </x:c>
      <x:c r="E477" s="23" t="str">
        <x:v>Combat</x:v>
      </x:c>
      <x:c r="F477" s="23" t="str">
        <x:v>Ultra Rare</x:v>
      </x:c>
      <x:c r="G477" s="45" t="n">
        <x:v>75000</x:v>
      </x:c>
      <x:c r="H477" s="45" t="n">
        <x:f>IF(G477="","",ROUNDUP(G477*3,0))</x:f>
        <x:v>225000</x:v>
      </x:c>
      <x:c r="I477" s="41" t="n">
        <x:v>1</x:v>
      </x:c>
      <x:c r="J477" s="42" t="n">
        <x:v>90</x:v>
      </x:c>
      <x:c r="K477" s="42" t="n">
        <x:v>93</x:v>
      </x:c>
      <x:c r="L477" s="42" t="n">
        <x:v>55</x:v>
      </x:c>
      <x:c r="M477" s="42" t="n">
        <x:v>70</x:v>
      </x:c>
      <x:c r="N477" s="42" t="n">
        <x:v>55</x:v>
      </x:c>
      <x:c r="O477" s="42" t="n">
        <x:v>55</x:v>
      </x:c>
      <x:c r="P477" s="43" t="n">
        <x:f>IF(COUNT(J477:O477)=0,"",SUM(J477:O477))</x:f>
        <x:v>418</x:v>
      </x:c>
      <x:c r="Q477" s="23" t="str">
        <x:v>1 lignes de spawn</x:v>
      </x:c>
      <x:c r="R477" s="23" t="str">
        <x:v>Plus il mange, plus il dispose de carburant pour alimenter le feu dans son estomac, ce qui le rend encore plus puissant.</x:v>
      </x:c>
      <x:c r="S477" s="23" t="str"/>
      <x:c r="T477" s="23" t="str">
        <x:v>https://pixelmonmod.com/wiki/Pignite</x:v>
      </x:c>
    </x:row>
    <x:row r="478" ht="54" customHeight="1">
      <x:c r="A478" s="27" t="n">
        <x:v>500</x:v>
      </x:c>
      <x:c r="B478" s="23" t="str">
        <x:v>Roitiflam</x:v>
      </x:c>
      <x:c r="C478" s="23" t="str">
        <x:v>Emboar</x:v>
      </x:c>
      <x:c r="D478" s="23" t="str">
        <x:v>Feu</x:v>
      </x:c>
      <x:c r="E478" s="23" t="str">
        <x:v>Combat</x:v>
      </x:c>
      <x:c r="F478" s="23" t="str">
        <x:v>Ultra Rare</x:v>
      </x:c>
      <x:c r="G478" s="45" t="n">
        <x:v>75000</x:v>
      </x:c>
      <x:c r="H478" s="45" t="n">
        <x:f>IF(G478="","",ROUNDUP(G478*3,0))</x:f>
        <x:v>225000</x:v>
      </x:c>
      <x:c r="I478" s="41" t="n">
        <x:v>1</x:v>
      </x:c>
      <x:c r="J478" s="42" t="n">
        <x:v>110</x:v>
      </x:c>
      <x:c r="K478" s="42" t="n">
        <x:v>123</x:v>
      </x:c>
      <x:c r="L478" s="42" t="n">
        <x:v>65</x:v>
      </x:c>
      <x:c r="M478" s="42" t="n">
        <x:v>100</x:v>
      </x:c>
      <x:c r="N478" s="42" t="n">
        <x:v>65</x:v>
      </x:c>
      <x:c r="O478" s="42" t="n">
        <x:v>65</x:v>
      </x:c>
      <x:c r="P478" s="43" t="n">
        <x:f>IF(COUNT(J478:O478)=0,"",SUM(J478:O478))</x:f>
        <x:v>528</x:v>
      </x:c>
      <x:c r="Q478" s="23" t="str">
        <x:v>1 lignes de spawn</x:v>
      </x:c>
      <x:c r="R478" s="23" t="str">
        <x:v>Il peut asséner un coup de poing enflammé en embrasant ses poings grâce à sa barbe de feu. Il tient profondément à ses amis.</x:v>
      </x:c>
      <x:c r="S478" s="23" t="str"/>
      <x:c r="T478" s="23" t="str">
        <x:v>https://pixelmonmod.com/wiki/Emboar</x:v>
      </x:c>
    </x:row>
    <x:row r="479" ht="54" customHeight="1">
      <x:c r="A479" s="27" t="n">
        <x:v>501</x:v>
      </x:c>
      <x:c r="B479" s="23" t="str">
        <x:v>Moustillon</x:v>
      </x:c>
      <x:c r="C479" s="23" t="str">
        <x:v>Oshawott</x:v>
      </x:c>
      <x:c r="D479" s="23" t="str">
        <x:v>Eau</x:v>
      </x:c>
      <x:c r="E479" s="23" t="str"/>
      <x:c r="F479" s="23" t="str">
        <x:v>Ultra Rare</x:v>
      </x:c>
      <x:c r="G479" s="45" t="n">
        <x:v>75000</x:v>
      </x:c>
      <x:c r="H479" s="45" t="n">
        <x:f>IF(G479="","",ROUNDUP(G479*3,0))</x:f>
        <x:v>225000</x:v>
      </x:c>
      <x:c r="I479" s="41" t="n">
        <x:v>0.556</x:v>
      </x:c>
      <x:c r="J479" s="42" t="n">
        <x:v>55</x:v>
      </x:c>
      <x:c r="K479" s="42" t="n">
        <x:v>55</x:v>
      </x:c>
      <x:c r="L479" s="42" t="n">
        <x:v>45</x:v>
      </x:c>
      <x:c r="M479" s="42" t="n">
        <x:v>63</x:v>
      </x:c>
      <x:c r="N479" s="42" t="n">
        <x:v>45</x:v>
      </x:c>
      <x:c r="O479" s="42" t="n">
        <x:v>45</x:v>
      </x:c>
      <x:c r="P479" s="43" t="n">
        <x:f>IF(COUNT(J479:O479)=0,"",SUM(J479:O479))</x:f>
        <x:v>308</x:v>
      </x:c>
      <x:c r="Q479" s="23" t="str">
        <x:v>9 lignes de spawn</x:v>
      </x:c>
      <x:c r="R479" s="23" t="str">
        <x:v>Sa coquille ventrale ne sert pas qu'au combat : elle peut aussi briser des Baies dures.</x:v>
      </x:c>
      <x:c r="S479" s="23" t="str"/>
      <x:c r="T479" s="23" t="str">
        <x:v>https://pixelmonmod.com/wiki/Oshawott</x:v>
      </x:c>
    </x:row>
    <x:row r="480" ht="54" customHeight="1">
      <x:c r="A480" s="27" t="n">
        <x:v>502</x:v>
      </x:c>
      <x:c r="B480" s="23" t="str">
        <x:v>Mateloutre</x:v>
      </x:c>
      <x:c r="C480" s="23" t="str">
        <x:v>Dewott</x:v>
      </x:c>
      <x:c r="D480" s="23" t="str">
        <x:v>Eau</x:v>
      </x:c>
      <x:c r="E480" s="23" t="str"/>
      <x:c r="F480" s="23" t="str">
        <x:v>Ultra Rare</x:v>
      </x:c>
      <x:c r="G480" s="45" t="n">
        <x:v>75000</x:v>
      </x:c>
      <x:c r="H480" s="45" t="n">
        <x:f>IF(G480="","",ROUNDUP(G480*3,0))</x:f>
        <x:v>225000</x:v>
      </x:c>
      <x:c r="I480" s="41" t="n">
        <x:v>1</x:v>
      </x:c>
      <x:c r="J480" s="42" t="n">
        <x:v>75</x:v>
      </x:c>
      <x:c r="K480" s="42" t="n">
        <x:v>75</x:v>
      </x:c>
      <x:c r="L480" s="42" t="n">
        <x:v>60</x:v>
      </x:c>
      <x:c r="M480" s="42" t="n">
        <x:v>83</x:v>
      </x:c>
      <x:c r="N480" s="42" t="n">
        <x:v>60</x:v>
      </x:c>
      <x:c r="O480" s="42" t="n">
        <x:v>60</x:v>
      </x:c>
      <x:c r="P480" s="43" t="n">
        <x:f>IF(COUNT(J480:O480)=0,"",SUM(J480:O480))</x:f>
        <x:v>413</x:v>
      </x:c>
      <x:c r="Q480" s="23" t="str">
        <x:v>5 lignes de spawn</x:v>
      </x:c>
      <x:c r="R480" s="23" t="str">
        <x:v>Un entraînement rigoureux lui permet de maîtriser sa technique fluide à double coquillame.</x:v>
      </x:c>
      <x:c r="S480" s="23" t="str"/>
      <x:c r="T480" s="23" t="str">
        <x:v>https://pixelmonmod.com/wiki/Dewott</x:v>
      </x:c>
    </x:row>
    <x:row r="481" ht="54" customHeight="1">
      <x:c r="A481" s="27" t="n">
        <x:v>503</x:v>
      </x:c>
      <x:c r="B481" s="23" t="str">
        <x:v>Clamiral</x:v>
      </x:c>
      <x:c r="C481" s="23" t="str">
        <x:v>Samurott</x:v>
      </x:c>
      <x:c r="D481" s="23" t="str">
        <x:v>Eau</x:v>
      </x:c>
      <x:c r="E481" s="23" t="str"/>
      <x:c r="F481" s="23" t="str">
        <x:v>Ultra Rare</x:v>
      </x:c>
      <x:c r="G481" s="45" t="n">
        <x:v>75000</x:v>
      </x:c>
      <x:c r="H481" s="45" t="n">
        <x:f>IF(G481="","",ROUNDUP(G481*3,0))</x:f>
        <x:v>225000</x:v>
      </x:c>
      <x:c r="I481" s="41" t="n">
        <x:v>1</x:v>
      </x:c>
      <x:c r="J481" s="42" t="n">
        <x:v>95</x:v>
      </x:c>
      <x:c r="K481" s="42" t="n">
        <x:v>100</x:v>
      </x:c>
      <x:c r="L481" s="42" t="n">
        <x:v>85</x:v>
      </x:c>
      <x:c r="M481" s="42" t="n">
        <x:v>108</x:v>
      </x:c>
      <x:c r="N481" s="42" t="n">
        <x:v>70</x:v>
      </x:c>
      <x:c r="O481" s="42" t="n">
        <x:v>70</x:v>
      </x:c>
      <x:c r="P481" s="43" t="n">
        <x:f>IF(COUNT(J481:O481)=0,"",SUM(J481:O481))</x:f>
        <x:v>528</x:v>
      </x:c>
      <x:c r="Q481" s="23" t="str">
        <x:v>6 lignes de spawn</x:v>
      </x:c>
      <x:c r="R481" s="23" t="str">
        <x:v>Le temps d'un battement de cils, il peut dégainer et rengainer les sabresquales fixés à ses pattes avant.</x:v>
      </x:c>
      <x:c r="S481" s="23" t="str"/>
      <x:c r="T481" s="23" t="str">
        <x:v>https://pixelmonmod.com/wiki/Samurott</x:v>
      </x:c>
    </x:row>
    <x:row r="482" ht="54" customHeight="1">
      <x:c r="A482" s="27" t="n">
        <x:v>504</x:v>
      </x:c>
      <x:c r="B482" s="23" t="str">
        <x:v>Ratentif</x:v>
      </x:c>
      <x:c r="C482" s="23" t="str">
        <x:v>Patrat</x:v>
      </x:c>
      <x:c r="D482" s="23" t="str">
        <x:v>Normal</x:v>
      </x:c>
      <x:c r="E482" s="23" t="str"/>
      <x:c r="F482" s="23" t="str">
        <x:v>Common</x:v>
      </x:c>
      <x:c r="G482" s="45" t="n">
        <x:v>2000</x:v>
      </x:c>
      <x:c r="H482" s="45" t="n">
        <x:f>IF(G482="","",ROUNDUP(G482*3,0))</x:f>
        <x:v>6000</x:v>
      </x:c>
      <x:c r="I482" s="41" t="n">
        <x:v>1</x:v>
      </x:c>
      <x:c r="J482" s="42" t="n">
        <x:v>45</x:v>
      </x:c>
      <x:c r="K482" s="42" t="n">
        <x:v>55</x:v>
      </x:c>
      <x:c r="L482" s="42" t="n">
        <x:v>39</x:v>
      </x:c>
      <x:c r="M482" s="42" t="n">
        <x:v>35</x:v>
      </x:c>
      <x:c r="N482" s="42" t="n">
        <x:v>39</x:v>
      </x:c>
      <x:c r="O482" s="42" t="n">
        <x:v>42</x:v>
      </x:c>
      <x:c r="P482" s="43" t="n">
        <x:f>IF(COUNT(J482:O482)=0,"",SUM(J482:O482))</x:f>
        <x:v>255</x:v>
      </x:c>
      <x:c r="Q482" s="23" t="str">
        <x:v>2 lignes de spawn</x:v>
      </x:c>
      <x:c r="R482" s="23" t="str">
        <x:v>Grâce à la nourriture stockée dans leurs bajoues, ils peuvent monter la garde pendant des jours. Ils utilisent leurs queues pour communiquer entre eux.</x:v>
      </x:c>
      <x:c r="S482" s="23" t="str"/>
      <x:c r="T482" s="23" t="str">
        <x:v>https://pixelmonmod.com/wiki/Patrat</x:v>
      </x:c>
    </x:row>
    <x:row r="483" ht="54" customHeight="1">
      <x:c r="A483" s="27" t="n">
        <x:v>505</x:v>
      </x:c>
      <x:c r="B483" s="23" t="str">
        <x:v>Miradar</x:v>
      </x:c>
      <x:c r="C483" s="23" t="str">
        <x:v>Watchog</x:v>
      </x:c>
      <x:c r="D483" s="23" t="str">
        <x:v>Normal</x:v>
      </x:c>
      <x:c r="E483" s="23" t="str"/>
      <x:c r="F483" s="23" t="str">
        <x:v>Rare</x:v>
      </x:c>
      <x:c r="G483" s="45" t="n">
        <x:v>12000</x:v>
      </x:c>
      <x:c r="H483" s="45" t="n">
        <x:f>IF(G483="","",ROUNDUP(G483*3,0))</x:f>
        <x:v>36000</x:v>
      </x:c>
      <x:c r="I483" s="41" t="n">
        <x:v>1</x:v>
      </x:c>
      <x:c r="J483" s="42" t="n">
        <x:v>60</x:v>
      </x:c>
      <x:c r="K483" s="42" t="n">
        <x:v>85</x:v>
      </x:c>
      <x:c r="L483" s="42" t="n">
        <x:v>69</x:v>
      </x:c>
      <x:c r="M483" s="42" t="n">
        <x:v>60</x:v>
      </x:c>
      <x:c r="N483" s="42" t="n">
        <x:v>69</x:v>
      </x:c>
      <x:c r="O483" s="42" t="n">
        <x:v>77</x:v>
      </x:c>
      <x:c r="P483" s="43" t="n">
        <x:f>IF(COUNT(J483:O483)=0,"",SUM(J483:O483))</x:f>
        <x:v>420</x:v>
      </x:c>
      <x:c r="Q483" s="23" t="str">
        <x:v>2 lignes de spawn</x:v>
      </x:c>
      <x:c r="R483" s="23" t="str">
        <x:v>Grâce à une matière luminescente, il fait briller son corps et ses yeux pour étourdir ses adversaires.</x:v>
      </x:c>
      <x:c r="S483" s="23" t="str"/>
      <x:c r="T483" s="23" t="str">
        <x:v>https://pixelmonmod.com/wiki/Watchog</x:v>
      </x:c>
    </x:row>
    <x:row r="484" ht="54" customHeight="1">
      <x:c r="A484" s="27" t="n">
        <x:v>506</x:v>
      </x:c>
      <x:c r="B484" s="23" t="str">
        <x:v>Ponchiot</x:v>
      </x:c>
      <x:c r="C484" s="23" t="str">
        <x:v>Lillipup</x:v>
      </x:c>
      <x:c r="D484" s="23" t="str">
        <x:v>Normal</x:v>
      </x:c>
      <x:c r="E484" s="23" t="str"/>
      <x:c r="F484" s="23" t="str">
        <x:v>Uncommon</x:v>
      </x:c>
      <x:c r="G484" s="45" t="n">
        <x:v>5000</x:v>
      </x:c>
      <x:c r="H484" s="45" t="n">
        <x:f>IF(G484="","",ROUNDUP(G484*3,0))</x:f>
        <x:v>15000</x:v>
      </x:c>
      <x:c r="I484" s="41" t="n">
        <x:v>1</x:v>
      </x:c>
      <x:c r="J484" s="42" t="n">
        <x:v>45</x:v>
      </x:c>
      <x:c r="K484" s="42" t="n">
        <x:v>60</x:v>
      </x:c>
      <x:c r="L484" s="42" t="n">
        <x:v>45</x:v>
      </x:c>
      <x:c r="M484" s="42" t="n">
        <x:v>25</x:v>
      </x:c>
      <x:c r="N484" s="42" t="n">
        <x:v>45</x:v>
      </x:c>
      <x:c r="O484" s="42" t="n">
        <x:v>55</x:v>
      </x:c>
      <x:c r="P484" s="43" t="n">
        <x:f>IF(COUNT(J484:O484)=0,"",SUM(J484:O484))</x:f>
        <x:v>275</x:v>
      </x:c>
      <x:c r="Q484" s="23" t="str">
        <x:v>1 lignes de spawn</x:v>
      </x:c>
      <x:c r="R484" s="23" t="str">
        <x:v>Les longs poils autour de son visage lui servent de radar extrêmement précis, capable de détecter de subtiles variations dans son environnement.</x:v>
      </x:c>
      <x:c r="S484" s="23" t="str"/>
      <x:c r="T484" s="23" t="str">
        <x:v>https://pixelmonmod.com/wiki/Lillipup</x:v>
      </x:c>
    </x:row>
    <x:row r="485" ht="54" customHeight="1">
      <x:c r="A485" s="27" t="n">
        <x:v>507</x:v>
      </x:c>
      <x:c r="B485" s="23" t="str">
        <x:v>Ponchien</x:v>
      </x:c>
      <x:c r="C485" s="23" t="str">
        <x:v>Herdier</x:v>
      </x:c>
      <x:c r="D485" s="23" t="str">
        <x:v>Normal</x:v>
      </x:c>
      <x:c r="E485" s="23" t="str"/>
      <x:c r="F485" s="23" t="str">
        <x:v>Very Rare</x:v>
      </x:c>
      <x:c r="G485" s="45" t="n">
        <x:v>30000</x:v>
      </x:c>
      <x:c r="H485" s="45" t="n">
        <x:f>IF(G485="","",ROUNDUP(G485*3,0))</x:f>
        <x:v>90000</x:v>
      </x:c>
      <x:c r="I485" s="41" t="n">
        <x:v>1</x:v>
      </x:c>
      <x:c r="J485" s="42" t="n">
        <x:v>65</x:v>
      </x:c>
      <x:c r="K485" s="42" t="n">
        <x:v>80</x:v>
      </x:c>
      <x:c r="L485" s="42" t="n">
        <x:v>65</x:v>
      </x:c>
      <x:c r="M485" s="42" t="n">
        <x:v>35</x:v>
      </x:c>
      <x:c r="N485" s="42" t="n">
        <x:v>65</x:v>
      </x:c>
      <x:c r="O485" s="42" t="n">
        <x:v>60</x:v>
      </x:c>
      <x:c r="P485" s="43" t="n">
        <x:f>IF(COUNT(J485:O485)=0,"",SUM(J485:O485))</x:f>
        <x:v>370</x:v>
      </x:c>
      <x:c r="Q485" s="23" t="str">
        <x:v>1 lignes de spawn</x:v>
      </x:c>
      <x:c r="R485" s="23" t="str">
        <x:v>Un Pokémon très loyal qui aide les Dresseurs et prend soin des autres Pokémon.</x:v>
      </x:c>
      <x:c r="S485" s="23" t="str">
        <x:v>Very Rare aligné sur le palier Super Rare (provisoire).</x:v>
      </x:c>
      <x:c r="T485" s="23" t="str">
        <x:v>https://pixelmonmod.com/wiki/Herdier</x:v>
      </x:c>
    </x:row>
    <x:row r="486" ht="54" customHeight="1">
      <x:c r="A486" s="27" t="n">
        <x:v>508</x:v>
      </x:c>
      <x:c r="B486" s="23" t="str">
        <x:v>Mastouffe</x:v>
      </x:c>
      <x:c r="C486" s="23" t="str">
        <x:v>Stoutland</x:v>
      </x:c>
      <x:c r="D486" s="23" t="str">
        <x:v>Normal</x:v>
      </x:c>
      <x:c r="E486" s="23" t="str"/>
      <x:c r="F486" s="23" t="str">
        <x:v>Non classé</x:v>
      </x:c>
      <x:c r="G486" s="45"/>
      <x:c r="H486" s="45" t="str">
        <x:f>IF(G486="","",ROUNDUP(G486*3,0))</x:f>
      </x:c>
      <x:c r="I486" s="41"/>
      <x:c r="J486" s="42" t="n">
        <x:v>85</x:v>
      </x:c>
      <x:c r="K486" s="42" t="n">
        <x:v>110</x:v>
      </x:c>
      <x:c r="L486" s="42" t="n">
        <x:v>90</x:v>
      </x:c>
      <x:c r="M486" s="42" t="n">
        <x:v>45</x:v>
      </x:c>
      <x:c r="N486" s="42" t="n">
        <x:v>90</x:v>
      </x:c>
      <x:c r="O486" s="42" t="n">
        <x:v>80</x:v>
      </x:c>
      <x:c r="P486" s="43" t="n">
        <x:f>IF(COUNT(J486:O486)=0,"",SUM(J486:O486))</x:f>
        <x:v>500</x:v>
      </x:c>
      <x:c r="Q486" s="23" t="str">
        <x:v>Aucune ligne classée</x:v>
      </x:c>
      <x:c r="R486" s="23" t="str">
        <x:v>Il sauve les personnes coincées dans les montagnes lors de blizzards. Son pelage hirsute le protège du froid.</x:v>
      </x:c>
      <x:c r="S486" s="23" t="str">
        <x:v>Aucune rareté wiki exploitable; prix à fixer.</x:v>
      </x:c>
      <x:c r="T486" s="23" t="str">
        <x:v>https://pixelmonmod.com/wiki/Stoutland</x:v>
      </x:c>
    </x:row>
    <x:row r="487" ht="54" customHeight="1">
      <x:c r="A487" s="27" t="n">
        <x:v>509</x:v>
      </x:c>
      <x:c r="B487" s="23" t="str">
        <x:v>Chacripan</x:v>
      </x:c>
      <x:c r="C487" s="23" t="str">
        <x:v>Purrloin</x:v>
      </x:c>
      <x:c r="D487" s="23" t="str">
        <x:v>Ténèbres</x:v>
      </x:c>
      <x:c r="E487" s="23" t="str"/>
      <x:c r="F487" s="23" t="str">
        <x:v>Common / Uncommon</x:v>
      </x:c>
      <x:c r="G487" s="45" t="n">
        <x:v>5000</x:v>
      </x:c>
      <x:c r="H487" s="45" t="n">
        <x:f>IF(G487="","",ROUNDUP(G487*3,0))</x:f>
        <x:v>15000</x:v>
      </x:c>
      <x:c r="I487" s="41" t="n">
        <x:v>0.5</x:v>
      </x:c>
      <x:c r="J487" s="42" t="n">
        <x:v>41</x:v>
      </x:c>
      <x:c r="K487" s="42" t="n">
        <x:v>50</x:v>
      </x:c>
      <x:c r="L487" s="42" t="n">
        <x:v>37</x:v>
      </x:c>
      <x:c r="M487" s="42" t="n">
        <x:v>50</x:v>
      </x:c>
      <x:c r="N487" s="42" t="n">
        <x:v>37</x:v>
      </x:c>
      <x:c r="O487" s="42" t="n">
        <x:v>66</x:v>
      </x:c>
      <x:c r="P487" s="43" t="n">
        <x:f>IF(COUNT(J487:O487)=0,"",SUM(J487:O487))</x:f>
        <x:v>281</x:v>
      </x:c>
      <x:c r="Q487" s="23" t="str">
        <x:v>2 lignes de spawn</x:v>
      </x:c>
      <x:c r="R487" s="23" t="str">
        <x:v>Sa mignonne attitude est un piège. Quand les victimes baissent leur garde, elles se rendent compte qu'on leur a volé leurs objets. Il attaque avec ses griffes acérées.</x:v>
      </x:c>
      <x:c r="S487" s="23" t="str">
        <x:v>Égalité de fréquence; prix provisoire basé sur le palier le plus élevé.</x:v>
      </x:c>
      <x:c r="T487" s="23" t="str">
        <x:v>https://pixelmonmod.com/wiki/Purrloin</x:v>
      </x:c>
    </x:row>
    <x:row r="488" ht="54" customHeight="1">
      <x:c r="A488" s="27" t="n">
        <x:v>510</x:v>
      </x:c>
      <x:c r="B488" s="23" t="str">
        <x:v>Léopardus</x:v>
      </x:c>
      <x:c r="C488" s="23" t="str">
        <x:v>Liepard</x:v>
      </x:c>
      <x:c r="D488" s="23" t="str">
        <x:v>Ténèbres</x:v>
      </x:c>
      <x:c r="E488" s="23" t="str"/>
      <x:c r="F488" s="23" t="str">
        <x:v>Ultra Rare</x:v>
      </x:c>
      <x:c r="G488" s="45" t="n">
        <x:v>75000</x:v>
      </x:c>
      <x:c r="H488" s="45" t="n">
        <x:f>IF(G488="","",ROUNDUP(G488*3,0))</x:f>
        <x:v>225000</x:v>
      </x:c>
      <x:c r="I488" s="41" t="n">
        <x:v>1</x:v>
      </x:c>
      <x:c r="J488" s="42" t="n">
        <x:v>64</x:v>
      </x:c>
      <x:c r="K488" s="42" t="n">
        <x:v>88</x:v>
      </x:c>
      <x:c r="L488" s="42" t="n">
        <x:v>50</x:v>
      </x:c>
      <x:c r="M488" s="42" t="n">
        <x:v>88</x:v>
      </x:c>
      <x:c r="N488" s="42" t="n">
        <x:v>50</x:v>
      </x:c>
      <x:c r="O488" s="42" t="n">
        <x:v>106</x:v>
      </x:c>
      <x:c r="P488" s="43" t="n">
        <x:f>IF(COUNT(J488:O488)=0,"",SUM(J488:O488))</x:f>
        <x:v>446</x:v>
      </x:c>
      <x:c r="Q488" s="23" t="str">
        <x:v>1 lignes de spawn</x:v>
      </x:c>
      <x:c r="R488" s="23" t="str">
        <x:v>La beauté de leur silhouette provient de leurs muscles souples et développés. Ils courent silencieusement dans la nuit.</x:v>
      </x:c>
      <x:c r="S488" s="23" t="str"/>
      <x:c r="T488" s="23" t="str">
        <x:v>https://pixelmonmod.com/wiki/Liepard</x:v>
      </x:c>
    </x:row>
    <x:row r="489" ht="54" customHeight="1">
      <x:c r="A489" s="27" t="n">
        <x:v>511</x:v>
      </x:c>
      <x:c r="B489" s="23" t="str">
        <x:v>Feuillajou</x:v>
      </x:c>
      <x:c r="C489" s="23" t="str">
        <x:v>Pansage</x:v>
      </x:c>
      <x:c r="D489" s="23" t="str">
        <x:v>Plante</x:v>
      </x:c>
      <x:c r="E489" s="23" t="str"/>
      <x:c r="F489" s="23" t="str">
        <x:v>Rare</x:v>
      </x:c>
      <x:c r="G489" s="45" t="n">
        <x:v>12000</x:v>
      </x:c>
      <x:c r="H489" s="45" t="n">
        <x:f>IF(G489="","",ROUNDUP(G489*3,0))</x:f>
        <x:v>36000</x:v>
      </x:c>
      <x:c r="I489" s="41" t="n">
        <x:v>1</x:v>
      </x:c>
      <x:c r="J489" s="42" t="n">
        <x:v>50</x:v>
      </x:c>
      <x:c r="K489" s="42" t="n">
        <x:v>53</x:v>
      </x:c>
      <x:c r="L489" s="42" t="n">
        <x:v>48</x:v>
      </x:c>
      <x:c r="M489" s="42" t="n">
        <x:v>53</x:v>
      </x:c>
      <x:c r="N489" s="42" t="n">
        <x:v>48</x:v>
      </x:c>
      <x:c r="O489" s="42" t="n">
        <x:v>64</x:v>
      </x:c>
      <x:c r="P489" s="43" t="n">
        <x:f>IF(COUNT(J489:O489)=0,"",SUM(J489:O489))</x:f>
        <x:v>316</x:v>
      </x:c>
      <x:c r="Q489" s="23" t="str">
        <x:v>2 lignes de spawn</x:v>
      </x:c>
      <x:c r="R489" s="23" t="str">
        <x:v>Il partage la feuille de sa tête avec les Pokémon épuisés. Ces feuilles sont réputées pour réduire le stress.</x:v>
      </x:c>
      <x:c r="S489" s="23" t="str"/>
      <x:c r="T489" s="23" t="str">
        <x:v>https://pixelmonmod.com/wiki/Pansage</x:v>
      </x:c>
    </x:row>
    <x:row r="490" ht="54" customHeight="1">
      <x:c r="A490" s="27" t="n">
        <x:v>512</x:v>
      </x:c>
      <x:c r="B490" s="23" t="str">
        <x:v>Feuiloutan</x:v>
      </x:c>
      <x:c r="C490" s="23" t="str">
        <x:v>Simisage</x:v>
      </x:c>
      <x:c r="D490" s="23" t="str">
        <x:v>Plante</x:v>
      </x:c>
      <x:c r="E490" s="23" t="str"/>
      <x:c r="F490" s="23" t="str">
        <x:v>Ultra Rare</x:v>
      </x:c>
      <x:c r="G490" s="45" t="n">
        <x:v>75000</x:v>
      </x:c>
      <x:c r="H490" s="45" t="n">
        <x:f>IF(G490="","",ROUNDUP(G490*3,0))</x:f>
        <x:v>225000</x:v>
      </x:c>
      <x:c r="I490" s="41" t="n">
        <x:v>0.75</x:v>
      </x:c>
      <x:c r="J490" s="42" t="n">
        <x:v>75</x:v>
      </x:c>
      <x:c r="K490" s="42" t="n">
        <x:v>98</x:v>
      </x:c>
      <x:c r="L490" s="42" t="n">
        <x:v>63</x:v>
      </x:c>
      <x:c r="M490" s="42" t="n">
        <x:v>98</x:v>
      </x:c>
      <x:c r="N490" s="42" t="n">
        <x:v>63</x:v>
      </x:c>
      <x:c r="O490" s="42" t="n">
        <x:v>101</x:v>
      </x:c>
      <x:c r="P490" s="43" t="n">
        <x:f>IF(COUNT(J490:O490)=0,"",SUM(J490:O490))</x:f>
        <x:v>498</x:v>
      </x:c>
      <x:c r="Q490" s="23" t="str">
        <x:v>4 lignes de spawn</x:v>
      </x:c>
      <x:c r="R490" s="23" t="str">
        <x:v>Il attaque ses ennemis à coups de queue couverte d'épines. Ce Pokémon a un tempérament très sauvage.</x:v>
      </x:c>
      <x:c r="S490" s="23" t="str"/>
      <x:c r="T490" s="23" t="str">
        <x:v>https://pixelmonmod.com/wiki/Simisage</x:v>
      </x:c>
    </x:row>
    <x:row r="491" ht="54" customHeight="1">
      <x:c r="A491" s="27" t="n">
        <x:v>513</x:v>
      </x:c>
      <x:c r="B491" s="23" t="str">
        <x:v>Flamajou</x:v>
      </x:c>
      <x:c r="C491" s="23" t="str">
        <x:v>Pansear</x:v>
      </x:c>
      <x:c r="D491" s="23" t="str">
        <x:v>Feu</x:v>
      </x:c>
      <x:c r="E491" s="23" t="str"/>
      <x:c r="F491" s="23" t="str">
        <x:v>Rare</x:v>
      </x:c>
      <x:c r="G491" s="45" t="n">
        <x:v>12000</x:v>
      </x:c>
      <x:c r="H491" s="45" t="n">
        <x:f>IF(G491="","",ROUNDUP(G491*3,0))</x:f>
        <x:v>36000</x:v>
      </x:c>
      <x:c r="I491" s="41" t="n">
        <x:v>1</x:v>
      </x:c>
      <x:c r="J491" s="42" t="n">
        <x:v>50</x:v>
      </x:c>
      <x:c r="K491" s="42" t="n">
        <x:v>53</x:v>
      </x:c>
      <x:c r="L491" s="42" t="n">
        <x:v>48</x:v>
      </x:c>
      <x:c r="M491" s="42" t="n">
        <x:v>53</x:v>
      </x:c>
      <x:c r="N491" s="42" t="n">
        <x:v>48</x:v>
      </x:c>
      <x:c r="O491" s="42" t="n">
        <x:v>64</x:v>
      </x:c>
      <x:c r="P491" s="43" t="n">
        <x:f>IF(COUNT(J491:O491)=0,"",SUM(J491:O491))</x:f>
        <x:v>316</x:v>
      </x:c>
      <x:c r="Q491" s="23" t="str">
        <x:v>2 lignes de spawn</x:v>
      </x:c>
      <x:c r="R491" s="23" t="str">
        <x:v>Très intelligent, il grille les Baies avant de les manger. Il aime aider les gens.</x:v>
      </x:c>
      <x:c r="S491" s="23" t="str"/>
      <x:c r="T491" s="23" t="str">
        <x:v>https://pixelmonmod.com/wiki/Pansear</x:v>
      </x:c>
    </x:row>
    <x:row r="492" ht="54" customHeight="1">
      <x:c r="A492" s="27" t="n">
        <x:v>514</x:v>
      </x:c>
      <x:c r="B492" s="23" t="str">
        <x:v>Flamoutan</x:v>
      </x:c>
      <x:c r="C492" s="23" t="str">
        <x:v>Simisear</x:v>
      </x:c>
      <x:c r="D492" s="23" t="str">
        <x:v>Feu</x:v>
      </x:c>
      <x:c r="E492" s="23" t="str"/>
      <x:c r="F492" s="23" t="str">
        <x:v>Ultra Rare</x:v>
      </x:c>
      <x:c r="G492" s="45" t="n">
        <x:v>75000</x:v>
      </x:c>
      <x:c r="H492" s="45" t="n">
        <x:f>IF(G492="","",ROUNDUP(G492*3,0))</x:f>
        <x:v>225000</x:v>
      </x:c>
      <x:c r="I492" s="41" t="n">
        <x:v>0.75</x:v>
      </x:c>
      <x:c r="J492" s="42" t="n">
        <x:v>75</x:v>
      </x:c>
      <x:c r="K492" s="42" t="n">
        <x:v>98</x:v>
      </x:c>
      <x:c r="L492" s="42" t="n">
        <x:v>63</x:v>
      </x:c>
      <x:c r="M492" s="42" t="n">
        <x:v>98</x:v>
      </x:c>
      <x:c r="N492" s="42" t="n">
        <x:v>63</x:v>
      </x:c>
      <x:c r="O492" s="42" t="n">
        <x:v>101</x:v>
      </x:c>
      <x:c r="P492" s="43" t="n">
        <x:f>IF(COUNT(J492:O492)=0,"",SUM(J492:O492))</x:f>
        <x:v>498</x:v>
      </x:c>
      <x:c r="Q492" s="23" t="str">
        <x:v>4 lignes de spawn</x:v>
      </x:c>
      <x:c r="R492" s="23" t="str">
        <x:v>Une flamme brûle dans son corps. Il disperse des braises de sa tête et de sa queue pour brûler ses adversaires.</x:v>
      </x:c>
      <x:c r="S492" s="23" t="str"/>
      <x:c r="T492" s="23" t="str">
        <x:v>https://pixelmonmod.com/wiki/Simisear</x:v>
      </x:c>
    </x:row>
    <x:row r="493" ht="54" customHeight="1">
      <x:c r="A493" s="27" t="n">
        <x:v>515</x:v>
      </x:c>
      <x:c r="B493" s="23" t="str">
        <x:v>Flotajou</x:v>
      </x:c>
      <x:c r="C493" s="23" t="str">
        <x:v>Panpour</x:v>
      </x:c>
      <x:c r="D493" s="23" t="str">
        <x:v>Eau</x:v>
      </x:c>
      <x:c r="E493" s="23" t="str"/>
      <x:c r="F493" s="23" t="str">
        <x:v>Rare</x:v>
      </x:c>
      <x:c r="G493" s="45" t="n">
        <x:v>12000</x:v>
      </x:c>
      <x:c r="H493" s="45" t="n">
        <x:f>IF(G493="","",ROUNDUP(G493*3,0))</x:f>
        <x:v>36000</x:v>
      </x:c>
      <x:c r="I493" s="41" t="n">
        <x:v>1</x:v>
      </x:c>
      <x:c r="J493" s="42" t="n">
        <x:v>50</x:v>
      </x:c>
      <x:c r="K493" s="42" t="n">
        <x:v>53</x:v>
      </x:c>
      <x:c r="L493" s="42" t="n">
        <x:v>48</x:v>
      </x:c>
      <x:c r="M493" s="42" t="n">
        <x:v>53</x:v>
      </x:c>
      <x:c r="N493" s="42" t="n">
        <x:v>48</x:v>
      </x:c>
      <x:c r="O493" s="42" t="n">
        <x:v>64</x:v>
      </x:c>
      <x:c r="P493" s="43" t="n">
        <x:f>IF(COUNT(J493:O493)=0,"",SUM(J493:O493))</x:f>
        <x:v>316</x:v>
      </x:c>
      <x:c r="Q493" s="23" t="str">
        <x:v>2 lignes de spawn</x:v>
      </x:c>
      <x:c r="R493" s="23" t="str">
        <x:v>L'eau stockée dans la houppe sur sa tête est très nutritive. Il arrose les plantes avec, en se servant de sa queue.</x:v>
      </x:c>
      <x:c r="S493" s="23" t="str"/>
      <x:c r="T493" s="23" t="str">
        <x:v>https://pixelmonmod.com/wiki/Panpour</x:v>
      </x:c>
    </x:row>
    <x:row r="494" ht="54" customHeight="1">
      <x:c r="A494" s="27" t="n">
        <x:v>516</x:v>
      </x:c>
      <x:c r="B494" s="23" t="str">
        <x:v>Flotoutan</x:v>
      </x:c>
      <x:c r="C494" s="23" t="str">
        <x:v>Simipour</x:v>
      </x:c>
      <x:c r="D494" s="23" t="str">
        <x:v>Eau</x:v>
      </x:c>
      <x:c r="E494" s="23" t="str"/>
      <x:c r="F494" s="23" t="str">
        <x:v>Ultra Rare</x:v>
      </x:c>
      <x:c r="G494" s="45" t="n">
        <x:v>75000</x:v>
      </x:c>
      <x:c r="H494" s="45" t="n">
        <x:f>IF(G494="","",ROUNDUP(G494*3,0))</x:f>
        <x:v>225000</x:v>
      </x:c>
      <x:c r="I494" s="41" t="n">
        <x:v>0.75</x:v>
      </x:c>
      <x:c r="J494" s="42" t="n">
        <x:v>75</x:v>
      </x:c>
      <x:c r="K494" s="42" t="n">
        <x:v>98</x:v>
      </x:c>
      <x:c r="L494" s="42" t="n">
        <x:v>63</x:v>
      </x:c>
      <x:c r="M494" s="42" t="n">
        <x:v>98</x:v>
      </x:c>
      <x:c r="N494" s="42" t="n">
        <x:v>63</x:v>
      </x:c>
      <x:c r="O494" s="42" t="n">
        <x:v>101</x:v>
      </x:c>
      <x:c r="P494" s="43" t="n">
        <x:f>IF(COUNT(J494:O494)=0,"",SUM(J494:O494))</x:f>
        <x:v>498</x:v>
      </x:c>
      <x:c r="Q494" s="23" t="str">
        <x:v>4 lignes de spawn</x:v>
      </x:c>
      <x:c r="R494" s="23" t="str">
        <x:v>L'eau à haute pression qu'il expulse de sa queue est si puissante qu'elle peut détruire un mur en béton.</x:v>
      </x:c>
      <x:c r="S494" s="23" t="str"/>
      <x:c r="T494" s="23" t="str">
        <x:v>https://pixelmonmod.com/wiki/Simipour</x:v>
      </x:c>
    </x:row>
    <x:row r="495" ht="54" customHeight="1">
      <x:c r="A495" s="27" t="n">
        <x:v>517</x:v>
      </x:c>
      <x:c r="B495" s="23" t="str">
        <x:v>Munna</x:v>
      </x:c>
      <x:c r="C495" s="23" t="str">
        <x:v>Munna</x:v>
      </x:c>
      <x:c r="D495" s="23" t="str">
        <x:v>Psy</x:v>
      </x:c>
      <x:c r="E495" s="23" t="str"/>
      <x:c r="F495" s="23" t="str">
        <x:v>Uncommon / Rare</x:v>
      </x:c>
      <x:c r="G495" s="45" t="n">
        <x:v>12000</x:v>
      </x:c>
      <x:c r="H495" s="45" t="n">
        <x:f>IF(G495="","",ROUNDUP(G495*3,0))</x:f>
        <x:v>36000</x:v>
      </x:c>
      <x:c r="I495" s="41" t="n">
        <x:v>0.5</x:v>
      </x:c>
      <x:c r="J495" s="42" t="n">
        <x:v>76</x:v>
      </x:c>
      <x:c r="K495" s="42" t="n">
        <x:v>25</x:v>
      </x:c>
      <x:c r="L495" s="42" t="n">
        <x:v>45</x:v>
      </x:c>
      <x:c r="M495" s="42" t="n">
        <x:v>67</x:v>
      </x:c>
      <x:c r="N495" s="42" t="n">
        <x:v>55</x:v>
      </x:c>
      <x:c r="O495" s="42" t="n">
        <x:v>24</x:v>
      </x:c>
      <x:c r="P495" s="43" t="n">
        <x:f>IF(COUNT(J495:O495)=0,"",SUM(J495:O495))</x:f>
        <x:v>292</x:v>
      </x:c>
      <x:c r="Q495" s="23" t="str">
        <x:v>2 lignes de spawn</x:v>
      </x:c>
      <x:c r="R495" s="23" t="str">
        <x:v>Ce Pokémon apparaît devant les personnes et Pokémon en proie à des cauchemars et dévore leurs rêves.</x:v>
      </x:c>
      <x:c r="S495" s="23" t="str">
        <x:v>Égalité de fréquence; prix provisoire basé sur le palier le plus élevé.</x:v>
      </x:c>
      <x:c r="T495" s="23" t="str">
        <x:v>https://pixelmonmod.com/wiki/Munna</x:v>
      </x:c>
    </x:row>
    <x:row r="496" ht="54" customHeight="1">
      <x:c r="A496" s="27" t="n">
        <x:v>518</x:v>
      </x:c>
      <x:c r="B496" s="23" t="str">
        <x:v>Mushana</x:v>
      </x:c>
      <x:c r="C496" s="23" t="str">
        <x:v>Musharna</x:v>
      </x:c>
      <x:c r="D496" s="23" t="str">
        <x:v>Psy</x:v>
      </x:c>
      <x:c r="E496" s="23" t="str"/>
      <x:c r="F496" s="23" t="str">
        <x:v>Rare / Very Rare / Ultra Rare</x:v>
      </x:c>
      <x:c r="G496" s="45" t="n">
        <x:v>75000</x:v>
      </x:c>
      <x:c r="H496" s="45" t="n">
        <x:f>IF(G496="","",ROUNDUP(G496*3,0))</x:f>
        <x:v>225000</x:v>
      </x:c>
      <x:c r="I496" s="41" t="n">
        <x:v>0.33299999999999996</x:v>
      </x:c>
      <x:c r="J496" s="42" t="n">
        <x:v>116</x:v>
      </x:c>
      <x:c r="K496" s="42" t="n">
        <x:v>55</x:v>
      </x:c>
      <x:c r="L496" s="42" t="n">
        <x:v>85</x:v>
      </x:c>
      <x:c r="M496" s="42" t="n">
        <x:v>107</x:v>
      </x:c>
      <x:c r="N496" s="42" t="n">
        <x:v>95</x:v>
      </x:c>
      <x:c r="O496" s="42" t="n">
        <x:v>29</x:v>
      </x:c>
      <x:c r="P496" s="43" t="n">
        <x:f>IF(COUNT(J496:O496)=0,"",SUM(J496:O496))</x:f>
        <x:v>487</x:v>
      </x:c>
      <x:c r="Q496" s="23" t="str">
        <x:v>3 lignes de spawn</x:v>
      </x:c>
      <x:c r="R496" s="23" t="str">
        <x:v>La fumée qui s'échappe de leur front contient les rêves des personnes et Pokémon.</x:v>
      </x:c>
      <x:c r="S496" s="23" t="str">
        <x:v>Égalité de fréquence; prix provisoire basé sur le palier le plus élevé. Very Rare aligné sur le palier Super Rare (provisoire).</x:v>
      </x:c>
      <x:c r="T496" s="23" t="str">
        <x:v>https://pixelmonmod.com/wiki/Musharna</x:v>
      </x:c>
    </x:row>
    <x:row r="497" ht="54" customHeight="1">
      <x:c r="A497" s="27" t="n">
        <x:v>519</x:v>
      </x:c>
      <x:c r="B497" s="23" t="str">
        <x:v>Poichigeon</x:v>
      </x:c>
      <x:c r="C497" s="23" t="str">
        <x:v>Pidove</x:v>
      </x:c>
      <x:c r="D497" s="23" t="str">
        <x:v>Normal</x:v>
      </x:c>
      <x:c r="E497" s="23" t="str">
        <x:v>Vol</x:v>
      </x:c>
      <x:c r="F497" s="23" t="str">
        <x:v>Common</x:v>
      </x:c>
      <x:c r="G497" s="45" t="n">
        <x:v>2000</x:v>
      </x:c>
      <x:c r="H497" s="45" t="n">
        <x:f>IF(G497="","",ROUNDUP(G497*3,0))</x:f>
        <x:v>6000</x:v>
      </x:c>
      <x:c r="I497" s="41" t="n">
        <x:v>0.632</x:v>
      </x:c>
      <x:c r="J497" s="42" t="n">
        <x:v>50</x:v>
      </x:c>
      <x:c r="K497" s="42" t="n">
        <x:v>55</x:v>
      </x:c>
      <x:c r="L497" s="42" t="n">
        <x:v>50</x:v>
      </x:c>
      <x:c r="M497" s="42" t="n">
        <x:v>36</x:v>
      </x:c>
      <x:c r="N497" s="42" t="n">
        <x:v>30</x:v>
      </x:c>
      <x:c r="O497" s="42" t="n">
        <x:v>43</x:v>
      </x:c>
      <x:c r="P497" s="43" t="n">
        <x:f>IF(COUNT(J497:O497)=0,"",SUM(J497:O497))</x:f>
        <x:v>264</x:v>
      </x:c>
      <x:c r="Q497" s="23" t="str">
        <x:v>19 lignes de spawn</x:v>
      </x:c>
      <x:c r="R497" s="23" t="str">
        <x:v>Ce Pokémon très étourdi attendra un nouvel ordre de son Dresseur même s'il en a déjà reçu un.</x:v>
      </x:c>
      <x:c r="S497" s="23" t="str"/>
      <x:c r="T497" s="23" t="str">
        <x:v>https://pixelmonmod.com/wiki/Pidove</x:v>
      </x:c>
    </x:row>
    <x:row r="498" ht="54" customHeight="1">
      <x:c r="A498" s="27" t="n">
        <x:v>520</x:v>
      </x:c>
      <x:c r="B498" s="23" t="str">
        <x:v>Colombeau</x:v>
      </x:c>
      <x:c r="C498" s="23" t="str">
        <x:v>Tranquill</x:v>
      </x:c>
      <x:c r="D498" s="23" t="str">
        <x:v>Normal</x:v>
      </x:c>
      <x:c r="E498" s="23" t="str">
        <x:v>Vol</x:v>
      </x:c>
      <x:c r="F498" s="23" t="str">
        <x:v>Uncommon</x:v>
      </x:c>
      <x:c r="G498" s="45" t="n">
        <x:v>5000</x:v>
      </x:c>
      <x:c r="H498" s="45" t="n">
        <x:f>IF(G498="","",ROUNDUP(G498*3,0))</x:f>
        <x:v>15000</x:v>
      </x:c>
      <x:c r="I498" s="41" t="n">
        <x:v>1</x:v>
      </x:c>
      <x:c r="J498" s="42" t="n">
        <x:v>62</x:v>
      </x:c>
      <x:c r="K498" s="42" t="n">
        <x:v>77</x:v>
      </x:c>
      <x:c r="L498" s="42" t="n">
        <x:v>62</x:v>
      </x:c>
      <x:c r="M498" s="42" t="n">
        <x:v>50</x:v>
      </x:c>
      <x:c r="N498" s="42" t="n">
        <x:v>42</x:v>
      </x:c>
      <x:c r="O498" s="42" t="n">
        <x:v>65</x:v>
      </x:c>
      <x:c r="P498" s="43" t="n">
        <x:f>IF(COUNT(J498:O498)=0,"",SUM(J498:O498))</x:f>
        <x:v>358</x:v>
      </x:c>
      <x:c r="Q498" s="23" t="str">
        <x:v>12 lignes de spawn</x:v>
      </x:c>
      <x:c r="R498" s="23" t="str">
        <x:v>Beaucoup pensent que, dans les profondeurs des forêts où vivent les Colombeau, existe un lieu paisible où la guerre n'existe pas.</x:v>
      </x:c>
      <x:c r="S498" s="23" t="str"/>
      <x:c r="T498" s="23" t="str">
        <x:v>https://pixelmonmod.com/wiki/Tranquill</x:v>
      </x:c>
    </x:row>
    <x:row r="499" ht="54" customHeight="1">
      <x:c r="A499" s="27" t="n">
        <x:v>521</x:v>
      </x:c>
      <x:c r="B499" s="23" t="str">
        <x:v>Déflaisan</x:v>
      </x:c>
      <x:c r="C499" s="23" t="str">
        <x:v>Unfezant</x:v>
      </x:c>
      <x:c r="D499" s="23" t="str">
        <x:v>Normal</x:v>
      </x:c>
      <x:c r="E499" s="23" t="str">
        <x:v>Vol</x:v>
      </x:c>
      <x:c r="F499" s="23" t="str">
        <x:v>Ultra Rare</x:v>
      </x:c>
      <x:c r="G499" s="45" t="n">
        <x:v>75000</x:v>
      </x:c>
      <x:c r="H499" s="45" t="n">
        <x:f>IF(G499="","",ROUNDUP(G499*3,0))</x:f>
        <x:v>225000</x:v>
      </x:c>
      <x:c r="I499" s="41" t="n">
        <x:v>1</x:v>
      </x:c>
      <x:c r="J499" s="42" t="n">
        <x:v>80</x:v>
      </x:c>
      <x:c r="K499" s="42" t="n">
        <x:v>115</x:v>
      </x:c>
      <x:c r="L499" s="42" t="n">
        <x:v>80</x:v>
      </x:c>
      <x:c r="M499" s="42" t="n">
        <x:v>65</x:v>
      </x:c>
      <x:c r="N499" s="42" t="n">
        <x:v>55</x:v>
      </x:c>
      <x:c r="O499" s="42" t="n">
        <x:v>93</x:v>
      </x:c>
      <x:c r="P499" s="43" t="n">
        <x:f>IF(COUNT(J499:O499)=0,"",SUM(J499:O499))</x:f>
        <x:v>488</x:v>
      </x:c>
      <x:c r="Q499" s="23" t="str">
        <x:v>7 lignes de spawn</x:v>
      </x:c>
      <x:c r="R499" s="23" t="str">
        <x:v>Les mâles agitent leur plumage de tête pour intimider leurs adversaires. Les femelles possèdent des capacités de vol supérieures à celles des mâles.</x:v>
      </x:c>
      <x:c r="S499" s="23" t="str"/>
      <x:c r="T499" s="23" t="str">
        <x:v>https://pixelmonmod.com/wiki/Unfezant</x:v>
      </x:c>
    </x:row>
    <x:row r="500" ht="54" customHeight="1">
      <x:c r="A500" s="27" t="n">
        <x:v>522</x:v>
      </x:c>
      <x:c r="B500" s="23" t="str">
        <x:v>Zébibron</x:v>
      </x:c>
      <x:c r="C500" s="23" t="str">
        <x:v>Blitzle</x:v>
      </x:c>
      <x:c r="D500" s="23" t="str">
        <x:v>Électrik</x:v>
      </x:c>
      <x:c r="E500" s="23" t="str"/>
      <x:c r="F500" s="23" t="str">
        <x:v>Uncommon</x:v>
      </x:c>
      <x:c r="G500" s="45" t="n">
        <x:v>5000</x:v>
      </x:c>
      <x:c r="H500" s="45" t="n">
        <x:f>IF(G500="","",ROUNDUP(G500*3,0))</x:f>
        <x:v>15000</x:v>
      </x:c>
      <x:c r="I500" s="41" t="n">
        <x:v>1</x:v>
      </x:c>
      <x:c r="J500" s="42" t="n">
        <x:v>45</x:v>
      </x:c>
      <x:c r="K500" s="42" t="n">
        <x:v>60</x:v>
      </x:c>
      <x:c r="L500" s="42" t="n">
        <x:v>32</x:v>
      </x:c>
      <x:c r="M500" s="42" t="n">
        <x:v>50</x:v>
      </x:c>
      <x:c r="N500" s="42" t="n">
        <x:v>32</x:v>
      </x:c>
      <x:c r="O500" s="42" t="n">
        <x:v>76</x:v>
      </x:c>
      <x:c r="P500" s="43" t="n">
        <x:f>IF(COUNT(J500:O500)=0,"",SUM(J500:O500))</x:f>
        <x:v>295</x:v>
      </x:c>
      <x:c r="Q500" s="23" t="str">
        <x:v>1 lignes de spawn</x:v>
      </x:c>
      <x:c r="R500" s="23" t="str">
        <x:v>Lorsque le ciel se couvre de nuages d'orage, il apparaît. Il peut capter la foudre avec sa crinière et stocker l'électricité.</x:v>
      </x:c>
      <x:c r="S500" s="23" t="str"/>
      <x:c r="T500" s="23" t="str">
        <x:v>https://pixelmonmod.com/wiki/Blitzle</x:v>
      </x:c>
    </x:row>
    <x:row r="501" ht="54" customHeight="1">
      <x:c r="A501" s="27" t="n">
        <x:v>523</x:v>
      </x:c>
      <x:c r="B501" s="23" t="str">
        <x:v>Zéblitz</x:v>
      </x:c>
      <x:c r="C501" s="23" t="str">
        <x:v>Zebstrika</x:v>
      </x:c>
      <x:c r="D501" s="23" t="str">
        <x:v>Électrik</x:v>
      </x:c>
      <x:c r="E501" s="23" t="str"/>
      <x:c r="F501" s="23" t="str">
        <x:v>Ultra Rare</x:v>
      </x:c>
      <x:c r="G501" s="45" t="n">
        <x:v>75000</x:v>
      </x:c>
      <x:c r="H501" s="45" t="n">
        <x:f>IF(G501="","",ROUNDUP(G501*3,0))</x:f>
        <x:v>225000</x:v>
      </x:c>
      <x:c r="I501" s="41" t="n">
        <x:v>1</x:v>
      </x:c>
      <x:c r="J501" s="42" t="n">
        <x:v>75</x:v>
      </x:c>
      <x:c r="K501" s="42" t="n">
        <x:v>100</x:v>
      </x:c>
      <x:c r="L501" s="42" t="n">
        <x:v>63</x:v>
      </x:c>
      <x:c r="M501" s="42" t="n">
        <x:v>80</x:v>
      </x:c>
      <x:c r="N501" s="42" t="n">
        <x:v>63</x:v>
      </x:c>
      <x:c r="O501" s="42" t="n">
        <x:v>116</x:v>
      </x:c>
      <x:c r="P501" s="43" t="n">
        <x:f>IF(COUNT(J501:O501)=0,"",SUM(J501:O501))</x:f>
        <x:v>497</x:v>
      </x:c>
      <x:c r="Q501" s="23" t="str">
        <x:v>1 lignes de spawn</x:v>
      </x:c>
      <x:c r="R501" s="23" t="str">
        <x:v>Quand ce Pokémon irascible s'emballe, il projette des éclairs de sa crinière dans toutes les directions.</x:v>
      </x:c>
      <x:c r="S501" s="23" t="str"/>
      <x:c r="T501" s="23" t="str">
        <x:v>https://pixelmonmod.com/wiki/Zebstrika</x:v>
      </x:c>
    </x:row>
    <x:row r="502" ht="54" customHeight="1">
      <x:c r="A502" s="27" t="n">
        <x:v>524</x:v>
      </x:c>
      <x:c r="B502" s="23" t="str">
        <x:v>Nodulithe</x:v>
      </x:c>
      <x:c r="C502" s="23" t="str">
        <x:v>Roggenrola</x:v>
      </x:c>
      <x:c r="D502" s="23" t="str">
        <x:v>Roche</x:v>
      </x:c>
      <x:c r="E502" s="23" t="str"/>
      <x:c r="F502" s="23" t="str">
        <x:v>Common</x:v>
      </x:c>
      <x:c r="G502" s="45" t="n">
        <x:v>2000</x:v>
      </x:c>
      <x:c r="H502" s="45" t="n">
        <x:f>IF(G502="","",ROUNDUP(G502*3,0))</x:f>
        <x:v>6000</x:v>
      </x:c>
      <x:c r="I502" s="41" t="n">
        <x:v>0.857</x:v>
      </x:c>
      <x:c r="J502" s="42" t="n">
        <x:v>55</x:v>
      </x:c>
      <x:c r="K502" s="42" t="n">
        <x:v>75</x:v>
      </x:c>
      <x:c r="L502" s="42" t="n">
        <x:v>85</x:v>
      </x:c>
      <x:c r="M502" s="42" t="n">
        <x:v>25</x:v>
      </x:c>
      <x:c r="N502" s="42" t="n">
        <x:v>25</x:v>
      </x:c>
      <x:c r="O502" s="42" t="n">
        <x:v>15</x:v>
      </x:c>
      <x:c r="P502" s="43" t="n">
        <x:f>IF(COUNT(J502:O502)=0,"",SUM(J502:O502))</x:f>
        <x:v>280</x:v>
      </x:c>
      <x:c r="Q502" s="23" t="str">
        <x:v>7 lignes de spawn</x:v>
      </x:c>
      <x:c r="R502" s="23" t="str">
        <x:v>Son oreille a une forme hexagonale. Après une forte compression souterraine, son corps devient aussi dur que l'acier.</x:v>
      </x:c>
      <x:c r="S502" s="23" t="str"/>
      <x:c r="T502" s="23" t="str">
        <x:v>https://pixelmonmod.com/wiki/Roggenrola</x:v>
      </x:c>
    </x:row>
    <x:row r="503" ht="54" customHeight="1">
      <x:c r="A503" s="27" t="n">
        <x:v>525</x:v>
      </x:c>
      <x:c r="B503" s="23" t="str">
        <x:v>Géolithe</x:v>
      </x:c>
      <x:c r="C503" s="23" t="str">
        <x:v>Boldore</x:v>
      </x:c>
      <x:c r="D503" s="23" t="str">
        <x:v>Roche</x:v>
      </x:c>
      <x:c r="E503" s="23" t="str"/>
      <x:c r="F503" s="23" t="str">
        <x:v>Ultra Rare</x:v>
      </x:c>
      <x:c r="G503" s="45" t="n">
        <x:v>75000</x:v>
      </x:c>
      <x:c r="H503" s="45" t="n">
        <x:f>IF(G503="","",ROUNDUP(G503*3,0))</x:f>
        <x:v>225000</x:v>
      </x:c>
      <x:c r="I503" s="41" t="n">
        <x:v>0.778</x:v>
      </x:c>
      <x:c r="J503" s="42" t="n">
        <x:v>70</x:v>
      </x:c>
      <x:c r="K503" s="42" t="n">
        <x:v>105</x:v>
      </x:c>
      <x:c r="L503" s="42" t="n">
        <x:v>105</x:v>
      </x:c>
      <x:c r="M503" s="42" t="n">
        <x:v>50</x:v>
      </x:c>
      <x:c r="N503" s="42" t="n">
        <x:v>40</x:v>
      </x:c>
      <x:c r="O503" s="42" t="n">
        <x:v>20</x:v>
      </x:c>
      <x:c r="P503" s="43" t="n">
        <x:f>IF(COUNT(J503:O503)=0,"",SUM(J503:O503))</x:f>
        <x:v>390</x:v>
      </x:c>
      <x:c r="Q503" s="23" t="str">
        <x:v>9 lignes de spawn</x:v>
      </x:c>
      <x:c r="R503" s="23" t="str">
        <x:v>Son énergie était trop puissante pour être contenue ; elle a fui et formé des cristaux orange.</x:v>
      </x:c>
      <x:c r="S503" s="23" t="str"/>
      <x:c r="T503" s="23" t="str">
        <x:v>https://pixelmonmod.com/wiki/Boldore</x:v>
      </x:c>
    </x:row>
    <x:row r="504" ht="54" customHeight="1">
      <x:c r="A504" s="27" t="n">
        <x:v>526</x:v>
      </x:c>
      <x:c r="B504" s="23" t="str">
        <x:v>Gigalithe</x:v>
      </x:c>
      <x:c r="C504" s="23" t="str">
        <x:v>Gigalith</x:v>
      </x:c>
      <x:c r="D504" s="23" t="str">
        <x:v>Roche</x:v>
      </x:c>
      <x:c r="E504" s="23" t="str"/>
      <x:c r="F504" s="23" t="str">
        <x:v>Ultra Rare</x:v>
      </x:c>
      <x:c r="G504" s="45" t="n">
        <x:v>75000</x:v>
      </x:c>
      <x:c r="H504" s="45" t="n">
        <x:f>IF(G504="","",ROUNDUP(G504*3,0))</x:f>
        <x:v>225000</x:v>
      </x:c>
      <x:c r="I504" s="41" t="n">
        <x:v>1</x:v>
      </x:c>
      <x:c r="J504" s="42" t="n">
        <x:v>85</x:v>
      </x:c>
      <x:c r="K504" s="42" t="n">
        <x:v>135</x:v>
      </x:c>
      <x:c r="L504" s="42" t="n">
        <x:v>130</x:v>
      </x:c>
      <x:c r="M504" s="42" t="n">
        <x:v>60</x:v>
      </x:c>
      <x:c r="N504" s="42" t="n">
        <x:v>80</x:v>
      </x:c>
      <x:c r="O504" s="42" t="n">
        <x:v>25</x:v>
      </x:c>
      <x:c r="P504" s="43" t="n">
        <x:f>IF(COUNT(J504:O504)=0,"",SUM(J504:O504))</x:f>
        <x:v>515</x:v>
      </x:c>
      <x:c r="Q504" s="23" t="str">
        <x:v>2 lignes de spawn</x:v>
      </x:c>
      <x:c r="R504" s="23" t="str">
        <x:v>Les rayons solaires qu'il absorbe sont traités dans son noyau énergétique et tirés sous forme de boule de lumière.</x:v>
      </x:c>
      <x:c r="S504" s="23" t="str"/>
      <x:c r="T504" s="23" t="str">
        <x:v>https://pixelmonmod.com/wiki/Gigalith</x:v>
      </x:c>
    </x:row>
    <x:row r="505" ht="54" customHeight="1">
      <x:c r="A505" s="27" t="n">
        <x:v>527</x:v>
      </x:c>
      <x:c r="B505" s="23" t="str">
        <x:v>Chovsourir</x:v>
      </x:c>
      <x:c r="C505" s="23" t="str">
        <x:v>Woobat</x:v>
      </x:c>
      <x:c r="D505" s="23" t="str">
        <x:v>Psy</x:v>
      </x:c>
      <x:c r="E505" s="23" t="str">
        <x:v>Vol</x:v>
      </x:c>
      <x:c r="F505" s="23" t="str">
        <x:v>Uncommon</x:v>
      </x:c>
      <x:c r="G505" s="45" t="n">
        <x:v>5000</x:v>
      </x:c>
      <x:c r="H505" s="45" t="n">
        <x:f>IF(G505="","",ROUNDUP(G505*3,0))</x:f>
        <x:v>15000</x:v>
      </x:c>
      <x:c r="I505" s="41" t="n">
        <x:v>1</x:v>
      </x:c>
      <x:c r="J505" s="42" t="n">
        <x:v>65</x:v>
      </x:c>
      <x:c r="K505" s="42" t="n">
        <x:v>45</x:v>
      </x:c>
      <x:c r="L505" s="42" t="n">
        <x:v>43</x:v>
      </x:c>
      <x:c r="M505" s="42" t="n">
        <x:v>55</x:v>
      </x:c>
      <x:c r="N505" s="42" t="n">
        <x:v>43</x:v>
      </x:c>
      <x:c r="O505" s="42" t="n">
        <x:v>72</x:v>
      </x:c>
      <x:c r="P505" s="43" t="n">
        <x:f>IF(COUNT(J505:O505)=0,"",SUM(J505:O505))</x:f>
        <x:v>323</x:v>
      </x:c>
      <x:c r="Q505" s="23" t="str">
        <x:v>4 lignes de spawn</x:v>
      </x:c>
      <x:c r="R505" s="23" t="str">
        <x:v>Il vit dans les forêts sombres et les grottes. Il émet des ultrasons par son nez pour analyser son environnement.</x:v>
      </x:c>
      <x:c r="S505" s="23" t="str"/>
      <x:c r="T505" s="23" t="str">
        <x:v>https://pixelmonmod.com/wiki/Woobat</x:v>
      </x:c>
    </x:row>
    <x:row r="506" ht="54" customHeight="1">
      <x:c r="A506" s="27" t="n">
        <x:v>528</x:v>
      </x:c>
      <x:c r="B506" s="23" t="str">
        <x:v>Rhinolove</x:v>
      </x:c>
      <x:c r="C506" s="23" t="str">
        <x:v>Swoobat</x:v>
      </x:c>
      <x:c r="D506" s="23" t="str">
        <x:v>Psy</x:v>
      </x:c>
      <x:c r="E506" s="23" t="str">
        <x:v>Vol</x:v>
      </x:c>
      <x:c r="F506" s="23" t="str">
        <x:v>Ultra Rare</x:v>
      </x:c>
      <x:c r="G506" s="45" t="n">
        <x:v>75000</x:v>
      </x:c>
      <x:c r="H506" s="45" t="n">
        <x:f>IF(G506="","",ROUNDUP(G506*3,0))</x:f>
        <x:v>225000</x:v>
      </x:c>
      <x:c r="I506" s="41" t="n">
        <x:v>1</x:v>
      </x:c>
      <x:c r="J506" s="42" t="n">
        <x:v>67</x:v>
      </x:c>
      <x:c r="K506" s="42" t="n">
        <x:v>57</x:v>
      </x:c>
      <x:c r="L506" s="42" t="n">
        <x:v>55</x:v>
      </x:c>
      <x:c r="M506" s="42" t="n">
        <x:v>77</x:v>
      </x:c>
      <x:c r="N506" s="42" t="n">
        <x:v>55</x:v>
      </x:c>
      <x:c r="O506" s="42" t="n">
        <x:v>114</x:v>
      </x:c>
      <x:c r="P506" s="43" t="n">
        <x:f>IF(COUNT(J506:O506)=0,"",SUM(J506:O506))</x:f>
        <x:v>425</x:v>
      </x:c>
      <x:c r="Q506" s="23" t="str">
        <x:v>4 lignes de spawn</x:v>
      </x:c>
      <x:c r="R506" s="23" t="str">
        <x:v>Il agite vigoureusement sa queue lorsqu'il émet des ultrasons assez puissants pour réduire du béton en poussière.</x:v>
      </x:c>
      <x:c r="S506" s="23" t="str"/>
      <x:c r="T506" s="23" t="str">
        <x:v>https://pixelmonmod.com/wiki/Swoobat</x:v>
      </x:c>
    </x:row>
    <x:row r="507" ht="54" customHeight="1">
      <x:c r="A507" s="27" t="n">
        <x:v>529</x:v>
      </x:c>
      <x:c r="B507" s="23" t="str">
        <x:v>Rototaupe</x:v>
      </x:c>
      <x:c r="C507" s="23" t="str">
        <x:v>Drilbur</x:v>
      </x:c>
      <x:c r="D507" s="23" t="str">
        <x:v>Sol</x:v>
      </x:c>
      <x:c r="E507" s="23" t="str"/>
      <x:c r="F507" s="23" t="str">
        <x:v>Uncommon</x:v>
      </x:c>
      <x:c r="G507" s="45" t="n">
        <x:v>5000</x:v>
      </x:c>
      <x:c r="H507" s="45" t="n">
        <x:f>IF(G507="","",ROUNDUP(G507*3,0))</x:f>
        <x:v>15000</x:v>
      </x:c>
      <x:c r="I507" s="41" t="n">
        <x:v>1</x:v>
      </x:c>
      <x:c r="J507" s="42" t="n">
        <x:v>60</x:v>
      </x:c>
      <x:c r="K507" s="42" t="n">
        <x:v>85</x:v>
      </x:c>
      <x:c r="L507" s="42" t="n">
        <x:v>40</x:v>
      </x:c>
      <x:c r="M507" s="42" t="n">
        <x:v>30</x:v>
      </x:c>
      <x:c r="N507" s="42" t="n">
        <x:v>45</x:v>
      </x:c>
      <x:c r="O507" s="42" t="n">
        <x:v>68</x:v>
      </x:c>
      <x:c r="P507" s="43" t="n">
        <x:f>IF(COUNT(J507:O507)=0,"",SUM(J507:O507))</x:f>
        <x:v>328</x:v>
      </x:c>
      <x:c r="Q507" s="23" t="str">
        <x:v>1 lignes de spawn</x:v>
      </x:c>
      <x:c r="R507" s="23" t="str">
        <x:v>Il se déplace rapidement sous terre en joignant ses deux griffes et en tournant à grande vitesse.</x:v>
      </x:c>
      <x:c r="S507" s="23" t="str"/>
      <x:c r="T507" s="23" t="str">
        <x:v>https://pixelmonmod.com/wiki/Drilbur</x:v>
      </x:c>
    </x:row>
    <x:row r="508" ht="54" customHeight="1">
      <x:c r="A508" s="27" t="n">
        <x:v>530</x:v>
      </x:c>
      <x:c r="B508" s="23" t="str">
        <x:v>Minotaupe</x:v>
      </x:c>
      <x:c r="C508" s="23" t="str">
        <x:v>Excadrill</x:v>
      </x:c>
      <x:c r="D508" s="23" t="str">
        <x:v>Sol</x:v>
      </x:c>
      <x:c r="E508" s="23" t="str">
        <x:v>Acier</x:v>
      </x:c>
      <x:c r="F508" s="23" t="str">
        <x:v>Ultra Rare</x:v>
      </x:c>
      <x:c r="G508" s="45" t="n">
        <x:v>75000</x:v>
      </x:c>
      <x:c r="H508" s="45" t="n">
        <x:f>IF(G508="","",ROUNDUP(G508*3,0))</x:f>
        <x:v>225000</x:v>
      </x:c>
      <x:c r="I508" s="41" t="n">
        <x:v>1</x:v>
      </x:c>
      <x:c r="J508" s="42" t="n">
        <x:v>110</x:v>
      </x:c>
      <x:c r="K508" s="42" t="n">
        <x:v>135</x:v>
      </x:c>
      <x:c r="L508" s="42" t="n">
        <x:v>60</x:v>
      </x:c>
      <x:c r="M508" s="42" t="n">
        <x:v>50</x:v>
      </x:c>
      <x:c r="N508" s="42" t="n">
        <x:v>65</x:v>
      </x:c>
      <x:c r="O508" s="42" t="n">
        <x:v>88</x:v>
      </x:c>
      <x:c r="P508" s="43" t="n">
        <x:f>IF(COUNT(J508:O508)=0,"",SUM(J508:O508))</x:f>
        <x:v>508</x:v>
      </x:c>
      <x:c r="Q508" s="23" t="str">
        <x:v>1 lignes de spawn</x:v>
      </x:c>
      <x:c r="R508" s="23" t="str">
        <x:v>Il peut aider à creuser des tunnels. Sa foreuse a évolué en un acier assez solide pour percer des plaques de fer.</x:v>
      </x:c>
      <x:c r="S508" s="23" t="str"/>
      <x:c r="T508" s="23" t="str">
        <x:v>https://pixelmonmod.com/wiki/Excadrill</x:v>
      </x:c>
    </x:row>
    <x:row r="509" ht="54" customHeight="1">
      <x:c r="A509" s="27" t="n">
        <x:v>531</x:v>
      </x:c>
      <x:c r="B509" s="23" t="str">
        <x:v>Nanméouïe</x:v>
      </x:c>
      <x:c r="C509" s="23" t="str">
        <x:v>Audino</x:v>
      </x:c>
      <x:c r="D509" s="23" t="str">
        <x:v>Normal</x:v>
      </x:c>
      <x:c r="E509" s="23" t="str"/>
      <x:c r="F509" s="23" t="str">
        <x:v>Rare</x:v>
      </x:c>
      <x:c r="G509" s="45" t="n">
        <x:v>12000</x:v>
      </x:c>
      <x:c r="H509" s="45" t="n">
        <x:f>IF(G509="","",ROUNDUP(G509*3,0))</x:f>
        <x:v>36000</x:v>
      </x:c>
      <x:c r="I509" s="41" t="n">
        <x:v>0.667</x:v>
      </x:c>
      <x:c r="J509" s="42" t="n">
        <x:v>103</x:v>
      </x:c>
      <x:c r="K509" s="42" t="n">
        <x:v>60</x:v>
      </x:c>
      <x:c r="L509" s="42" t="n">
        <x:v>86</x:v>
      </x:c>
      <x:c r="M509" s="42" t="n">
        <x:v>60</x:v>
      </x:c>
      <x:c r="N509" s="42" t="n">
        <x:v>86</x:v>
      </x:c>
      <x:c r="O509" s="42" t="n">
        <x:v>50</x:v>
      </x:c>
      <x:c r="P509" s="43" t="n">
        <x:f>IF(COUNT(J509:O509)=0,"",SUM(J509:O509))</x:f>
        <x:v>445</x:v>
      </x:c>
      <x:c r="Q509" s="23" t="str">
        <x:v>3 lignes de spawn</x:v>
      </x:c>
      <x:c r="R509" s="23" t="str">
        <x:v>Grâce aux antennes situées sur ses oreilles, il peut percevoir l'état émotionnel d'une personne ou savoir quand un Œuf est sur le point d'éclore.</x:v>
      </x:c>
      <x:c r="S509" s="23" t="str"/>
      <x:c r="T509" s="23" t="str">
        <x:v>https://pixelmonmod.com/wiki/Audino</x:v>
      </x:c>
    </x:row>
    <x:row r="510" ht="54" customHeight="1">
      <x:c r="A510" s="27" t="n">
        <x:v>532</x:v>
      </x:c>
      <x:c r="B510" s="23" t="str">
        <x:v>Charpenti</x:v>
      </x:c>
      <x:c r="C510" s="23" t="str">
        <x:v>Timburr</x:v>
      </x:c>
      <x:c r="D510" s="23" t="str">
        <x:v>Combat</x:v>
      </x:c>
      <x:c r="E510" s="23" t="str"/>
      <x:c r="F510" s="23" t="str">
        <x:v>Uncommon</x:v>
      </x:c>
      <x:c r="G510" s="45" t="n">
        <x:v>5000</x:v>
      </x:c>
      <x:c r="H510" s="45" t="n">
        <x:f>IF(G510="","",ROUNDUP(G510*3,0))</x:f>
        <x:v>15000</x:v>
      </x:c>
      <x:c r="I510" s="41" t="n">
        <x:v>1</x:v>
      </x:c>
      <x:c r="J510" s="42" t="n">
        <x:v>75</x:v>
      </x:c>
      <x:c r="K510" s="42" t="n">
        <x:v>80</x:v>
      </x:c>
      <x:c r="L510" s="42" t="n">
        <x:v>55</x:v>
      </x:c>
      <x:c r="M510" s="42" t="n">
        <x:v>25</x:v>
      </x:c>
      <x:c r="N510" s="42" t="n">
        <x:v>35</x:v>
      </x:c>
      <x:c r="O510" s="42" t="n">
        <x:v>35</x:v>
      </x:c>
      <x:c r="P510" s="43" t="n">
        <x:f>IF(COUNT(J510:O510)=0,"",SUM(J510:O510))</x:f>
        <x:v>305</x:v>
      </x:c>
      <x:c r="Q510" s="23" t="str">
        <x:v>1 lignes de spawn</x:v>
      </x:c>
      <x:c r="R510" s="23" t="str">
        <x:v>Ces Pokémon apparaissent sur les chantiers et aident à la construction. Ils transportent toujours des poutres carrées.</x:v>
      </x:c>
      <x:c r="S510" s="23" t="str"/>
      <x:c r="T510" s="23" t="str">
        <x:v>https://pixelmonmod.com/wiki/Timburr</x:v>
      </x:c>
    </x:row>
    <x:row r="511" ht="54" customHeight="1">
      <x:c r="A511" s="27" t="n">
        <x:v>533</x:v>
      </x:c>
      <x:c r="B511" s="23" t="str">
        <x:v>Ouvrifier</x:v>
      </x:c>
      <x:c r="C511" s="23" t="str">
        <x:v>Gurdurr</x:v>
      </x:c>
      <x:c r="D511" s="23" t="str">
        <x:v>Combat</x:v>
      </x:c>
      <x:c r="E511" s="23" t="str"/>
      <x:c r="F511" s="23" t="str">
        <x:v>Rare / Ultra Rare</x:v>
      </x:c>
      <x:c r="G511" s="45" t="n">
        <x:v>75000</x:v>
      </x:c>
      <x:c r="H511" s="45" t="n">
        <x:f>IF(G511="","",ROUNDUP(G511*3,0))</x:f>
        <x:v>225000</x:v>
      </x:c>
      <x:c r="I511" s="41" t="n">
        <x:v>0.5</x:v>
      </x:c>
      <x:c r="J511" s="42" t="n">
        <x:v>85</x:v>
      </x:c>
      <x:c r="K511" s="42" t="n">
        <x:v>105</x:v>
      </x:c>
      <x:c r="L511" s="42" t="n">
        <x:v>85</x:v>
      </x:c>
      <x:c r="M511" s="42" t="n">
        <x:v>40</x:v>
      </x:c>
      <x:c r="N511" s="42" t="n">
        <x:v>50</x:v>
      </x:c>
      <x:c r="O511" s="42" t="n">
        <x:v>40</x:v>
      </x:c>
      <x:c r="P511" s="43" t="n">
        <x:f>IF(COUNT(J511:O511)=0,"",SUM(J511:O511))</x:f>
        <x:v>405</x:v>
      </x:c>
      <x:c r="Q511" s="23" t="str">
        <x:v>2 lignes de spawn</x:v>
      </x:c>
      <x:c r="R511" s="23" t="str">
        <x:v>Leur corps renforcé leur permet de manier aisément des poutres en acier pour abattre des bâtiments.</x:v>
      </x:c>
      <x:c r="S511" s="23" t="str">
        <x:v>Égalité de fréquence; prix provisoire basé sur le palier le plus élevé.</x:v>
      </x:c>
      <x:c r="T511" s="23" t="str">
        <x:v>https://pixelmonmod.com/wiki/Gurdurr</x:v>
      </x:c>
    </x:row>
    <x:row r="512" ht="54" customHeight="1">
      <x:c r="A512" s="27" t="n">
        <x:v>534</x:v>
      </x:c>
      <x:c r="B512" s="23" t="str">
        <x:v>Bétochef</x:v>
      </x:c>
      <x:c r="C512" s="23" t="str">
        <x:v>Conkeldurr</x:v>
      </x:c>
      <x:c r="D512" s="23" t="str">
        <x:v>Combat</x:v>
      </x:c>
      <x:c r="E512" s="23" t="str"/>
      <x:c r="F512" s="23" t="str">
        <x:v>Ultra Rare</x:v>
      </x:c>
      <x:c r="G512" s="45" t="n">
        <x:v>75000</x:v>
      </x:c>
      <x:c r="H512" s="45" t="n">
        <x:f>IF(G512="","",ROUNDUP(G512*3,0))</x:f>
        <x:v>225000</x:v>
      </x:c>
      <x:c r="I512" s="41" t="n">
        <x:v>1</x:v>
      </x:c>
      <x:c r="J512" s="42" t="n">
        <x:v>105</x:v>
      </x:c>
      <x:c r="K512" s="42" t="n">
        <x:v>140</x:v>
      </x:c>
      <x:c r="L512" s="42" t="n">
        <x:v>95</x:v>
      </x:c>
      <x:c r="M512" s="42" t="n">
        <x:v>55</x:v>
      </x:c>
      <x:c r="N512" s="42" t="n">
        <x:v>65</x:v>
      </x:c>
      <x:c r="O512" s="42" t="n">
        <x:v>45</x:v>
      </x:c>
      <x:c r="P512" s="43" t="n">
        <x:f>IF(COUNT(J512:O512)=0,"",SUM(J512:O512))</x:f>
        <x:v>505</x:v>
      </x:c>
      <x:c r="Q512" s="23" t="str">
        <x:v>1 lignes de spawn</x:v>
      </x:c>
      <x:c r="R512" s="23" t="str">
        <x:v>On pense que Bétochef a appris aux humains à fabriquer du béton il y a plus de 2 000 ans.</x:v>
      </x:c>
      <x:c r="S512" s="23" t="str"/>
      <x:c r="T512" s="23" t="str">
        <x:v>https://pixelmonmod.com/wiki/Conkeldurr</x:v>
      </x:c>
    </x:row>
    <x:row r="513" ht="54" customHeight="1">
      <x:c r="A513" s="27" t="n">
        <x:v>535</x:v>
      </x:c>
      <x:c r="B513" s="23" t="str">
        <x:v>Tympito</x:v>
      </x:c>
      <x:c r="C513" s="23" t="str">
        <x:v>Tympole</x:v>
      </x:c>
      <x:c r="D513" s="23" t="str">
        <x:v>Eau</x:v>
      </x:c>
      <x:c r="E513" s="23" t="str"/>
      <x:c r="F513" s="23" t="str">
        <x:v>Uncommon</x:v>
      </x:c>
      <x:c r="G513" s="45" t="n">
        <x:v>5000</x:v>
      </x:c>
      <x:c r="H513" s="45" t="n">
        <x:f>IF(G513="","",ROUNDUP(G513*3,0))</x:f>
        <x:v>15000</x:v>
      </x:c>
      <x:c r="I513" s="41" t="n">
        <x:v>0.667</x:v>
      </x:c>
      <x:c r="J513" s="42" t="n">
        <x:v>50</x:v>
      </x:c>
      <x:c r="K513" s="42" t="n">
        <x:v>50</x:v>
      </x:c>
      <x:c r="L513" s="42" t="n">
        <x:v>40</x:v>
      </x:c>
      <x:c r="M513" s="42" t="n">
        <x:v>50</x:v>
      </x:c>
      <x:c r="N513" s="42" t="n">
        <x:v>40</x:v>
      </x:c>
      <x:c r="O513" s="42" t="n">
        <x:v>64</x:v>
      </x:c>
      <x:c r="P513" s="43" t="n">
        <x:f>IF(COUNT(J513:O513)=0,"",SUM(J513:O513))</x:f>
        <x:v>294</x:v>
      </x:c>
      <x:c r="Q513" s="23" t="str">
        <x:v>9 lignes de spawn</x:v>
      </x:c>
      <x:c r="R513" s="23" t="str">
        <x:v>En vibrant de ses joues, il émet des ondes sonores imperceptibles pour l'homme et avertit les autres du danger.</x:v>
      </x:c>
      <x:c r="S513" s="23" t="str"/>
      <x:c r="T513" s="23" t="str">
        <x:v>https://pixelmonmod.com/wiki/Tympole</x:v>
      </x:c>
    </x:row>
    <x:row r="514" ht="54" customHeight="1">
      <x:c r="A514" s="27" t="n">
        <x:v>536</x:v>
      </x:c>
      <x:c r="B514" s="23" t="str">
        <x:v>Batracné</x:v>
      </x:c>
      <x:c r="C514" s="23" t="str">
        <x:v>Palpitoad</x:v>
      </x:c>
      <x:c r="D514" s="23" t="str">
        <x:v>Eau</x:v>
      </x:c>
      <x:c r="E514" s="23" t="str">
        <x:v>Sol</x:v>
      </x:c>
      <x:c r="F514" s="23" t="str">
        <x:v>Uncommon</x:v>
      </x:c>
      <x:c r="G514" s="45" t="n">
        <x:v>5000</x:v>
      </x:c>
      <x:c r="H514" s="45" t="n">
        <x:f>IF(G514="","",ROUNDUP(G514*3,0))</x:f>
        <x:v>15000</x:v>
      </x:c>
      <x:c r="I514" s="41" t="n">
        <x:v>0.5</x:v>
      </x:c>
      <x:c r="J514" s="42" t="n">
        <x:v>75</x:v>
      </x:c>
      <x:c r="K514" s="42" t="n">
        <x:v>65</x:v>
      </x:c>
      <x:c r="L514" s="42" t="n">
        <x:v>55</x:v>
      </x:c>
      <x:c r="M514" s="42" t="n">
        <x:v>65</x:v>
      </x:c>
      <x:c r="N514" s="42" t="n">
        <x:v>55</x:v>
      </x:c>
      <x:c r="O514" s="42" t="n">
        <x:v>69</x:v>
      </x:c>
      <x:c r="P514" s="43" t="n">
        <x:f>IF(COUNT(J514:O514)=0,"",SUM(J514:O514))</x:f>
        <x:v>384</x:v>
      </x:c>
      <x:c r="Q514" s="23" t="str">
        <x:v>16 lignes de spawn</x:v>
      </x:c>
      <x:c r="R514" s="23" t="str">
        <x:v>Quand il fait vibrer les excroissances sur sa tête, il peut créer des vagues dans l'eau ou des secousses semblables à un tremblement de terre sur la terre ferme.</x:v>
      </x:c>
      <x:c r="S514" s="23" t="str"/>
      <x:c r="T514" s="23" t="str">
        <x:v>https://pixelmonmod.com/wiki/Palpitoad</x:v>
      </x:c>
    </x:row>
    <x:row r="515" ht="54" customHeight="1">
      <x:c r="A515" s="27" t="n">
        <x:v>537</x:v>
      </x:c>
      <x:c r="B515" s="23" t="str">
        <x:v>Crapustule</x:v>
      </x:c>
      <x:c r="C515" s="23" t="str">
        <x:v>Seismitoad</x:v>
      </x:c>
      <x:c r="D515" s="23" t="str">
        <x:v>Eau</x:v>
      </x:c>
      <x:c r="E515" s="23" t="str">
        <x:v>Sol</x:v>
      </x:c>
      <x:c r="F515" s="23" t="str">
        <x:v>Ultra Rare</x:v>
      </x:c>
      <x:c r="G515" s="45" t="n">
        <x:v>75000</x:v>
      </x:c>
      <x:c r="H515" s="45" t="n">
        <x:f>IF(G515="","",ROUNDUP(G515*3,0))</x:f>
        <x:v>225000</x:v>
      </x:c>
      <x:c r="I515" s="41" t="n">
        <x:v>1</x:v>
      </x:c>
      <x:c r="J515" s="42" t="n">
        <x:v>105</x:v>
      </x:c>
      <x:c r="K515" s="42" t="n">
        <x:v>95</x:v>
      </x:c>
      <x:c r="L515" s="42" t="n">
        <x:v>75</x:v>
      </x:c>
      <x:c r="M515" s="42" t="n">
        <x:v>85</x:v>
      </x:c>
      <x:c r="N515" s="42" t="n">
        <x:v>75</x:v>
      </x:c>
      <x:c r="O515" s="42" t="n">
        <x:v>74</x:v>
      </x:c>
      <x:c r="P515" s="43" t="n">
        <x:f>IF(COUNT(J515:O515)=0,"",SUM(J515:O515))</x:f>
        <x:v>509</x:v>
      </x:c>
      <x:c r="Q515" s="23" t="str">
        <x:v>8 lignes de spawn</x:v>
      </x:c>
      <x:c r="R515" s="23" t="str">
        <x:v>Il augmente la puissance de ses coups en faisant vibrer les excroissances de ses poings. Un seul de ses coups peut réduire un rocher en poussière.</x:v>
      </x:c>
      <x:c r="S515" s="23" t="str"/>
      <x:c r="T515" s="23" t="str">
        <x:v>https://pixelmonmod.com/wiki/Seismitoad</x:v>
      </x:c>
    </x:row>
    <x:row r="516" ht="54" customHeight="1">
      <x:c r="A516" s="27" t="n">
        <x:v>538</x:v>
      </x:c>
      <x:c r="B516" s="23" t="str">
        <x:v>Judokrak</x:v>
      </x:c>
      <x:c r="C516" s="23" t="str">
        <x:v>Throh</x:v>
      </x:c>
      <x:c r="D516" s="23" t="str">
        <x:v>Combat</x:v>
      </x:c>
      <x:c r="E516" s="23" t="str"/>
      <x:c r="F516" s="23" t="str">
        <x:v>Rare</x:v>
      </x:c>
      <x:c r="G516" s="45" t="n">
        <x:v>12000</x:v>
      </x:c>
      <x:c r="H516" s="45" t="n">
        <x:f>IF(G516="","",ROUNDUP(G516*3,0))</x:f>
        <x:v>36000</x:v>
      </x:c>
      <x:c r="I516" s="41" t="n">
        <x:v>0.75</x:v>
      </x:c>
      <x:c r="J516" s="42" t="n">
        <x:v>120</x:v>
      </x:c>
      <x:c r="K516" s="42" t="n">
        <x:v>100</x:v>
      </x:c>
      <x:c r="L516" s="42" t="n">
        <x:v>85</x:v>
      </x:c>
      <x:c r="M516" s="42" t="n">
        <x:v>30</x:v>
      </x:c>
      <x:c r="N516" s="42" t="n">
        <x:v>85</x:v>
      </x:c>
      <x:c r="O516" s="42" t="n">
        <x:v>45</x:v>
      </x:c>
      <x:c r="P516" s="43" t="n">
        <x:f>IF(COUNT(J516:O516)=0,"",SUM(J516:O516))</x:f>
        <x:v>465</x:v>
      </x:c>
      <x:c r="Q516" s="23" t="str">
        <x:v>4 lignes de spawn</x:v>
      </x:c>
      <x:c r="R516" s="23" t="str">
        <x:v>Lorsqu'il serre sa ceinture, il devient plus fort. Les Judokrak sauvages tressent eux-mêmes leurs ceintures à l'aide de lianes.</x:v>
      </x:c>
      <x:c r="S516" s="23" t="str"/>
      <x:c r="T516" s="23" t="str">
        <x:v>https://pixelmonmod.com/wiki/Throh</x:v>
      </x:c>
    </x:row>
    <x:row r="517" ht="54" customHeight="1">
      <x:c r="A517" s="27" t="n">
        <x:v>539</x:v>
      </x:c>
      <x:c r="B517" s="23" t="str">
        <x:v>Karaclée</x:v>
      </x:c>
      <x:c r="C517" s="23" t="str">
        <x:v>Sawk</x:v>
      </x:c>
      <x:c r="D517" s="23" t="str">
        <x:v>Combat</x:v>
      </x:c>
      <x:c r="E517" s="23" t="str"/>
      <x:c r="F517" s="23" t="str">
        <x:v>Rare</x:v>
      </x:c>
      <x:c r="G517" s="45" t="n">
        <x:v>12000</x:v>
      </x:c>
      <x:c r="H517" s="45" t="n">
        <x:f>IF(G517="","",ROUNDUP(G517*3,0))</x:f>
        <x:v>36000</x:v>
      </x:c>
      <x:c r="I517" s="41" t="n">
        <x:v>0.75</x:v>
      </x:c>
      <x:c r="J517" s="42" t="n">
        <x:v>75</x:v>
      </x:c>
      <x:c r="K517" s="42" t="n">
        <x:v>125</x:v>
      </x:c>
      <x:c r="L517" s="42" t="n">
        <x:v>75</x:v>
      </x:c>
      <x:c r="M517" s="42" t="n">
        <x:v>30</x:v>
      </x:c>
      <x:c r="N517" s="42" t="n">
        <x:v>75</x:v>
      </x:c>
      <x:c r="O517" s="42" t="n">
        <x:v>85</x:v>
      </x:c>
      <x:c r="P517" s="43" t="n">
        <x:f>IF(COUNT(J517:O517)=0,"",SUM(J517:O517))</x:f>
        <x:v>465</x:v>
      </x:c>
      <x:c r="Q517" s="23" t="str">
        <x:v>4 lignes de spawn</x:v>
      </x:c>
      <x:c r="R517" s="23" t="str">
        <x:v>En quête du coup de karaté le plus puissant, ils vivent en ermites dans les montagnes et s'entraînent sans jamais dormir.</x:v>
      </x:c>
      <x:c r="S517" s="23" t="str"/>
      <x:c r="T517" s="23" t="str">
        <x:v>https://pixelmonmod.com/wiki/Sawk</x:v>
      </x:c>
    </x:row>
    <x:row r="518" ht="54" customHeight="1">
      <x:c r="A518" s="27" t="n">
        <x:v>540</x:v>
      </x:c>
      <x:c r="B518" s="23" t="str">
        <x:v>Larveyette</x:v>
      </x:c>
      <x:c r="C518" s="23" t="str">
        <x:v>Sewaddle</x:v>
      </x:c>
      <x:c r="D518" s="23" t="str">
        <x:v>Insecte</x:v>
      </x:c>
      <x:c r="E518" s="23" t="str">
        <x:v>Plante</x:v>
      </x:c>
      <x:c r="F518" s="23" t="str">
        <x:v>Common / Uncommon</x:v>
      </x:c>
      <x:c r="G518" s="45" t="n">
        <x:v>5000</x:v>
      </x:c>
      <x:c r="H518" s="45" t="n">
        <x:f>IF(G518="","",ROUNDUP(G518*3,0))</x:f>
        <x:v>15000</x:v>
      </x:c>
      <x:c r="I518" s="41" t="n">
        <x:v>0.5</x:v>
      </x:c>
      <x:c r="J518" s="42" t="n">
        <x:v>45</x:v>
      </x:c>
      <x:c r="K518" s="42" t="n">
        <x:v>53</x:v>
      </x:c>
      <x:c r="L518" s="42" t="n">
        <x:v>70</x:v>
      </x:c>
      <x:c r="M518" s="42" t="n">
        <x:v>40</x:v>
      </x:c>
      <x:c r="N518" s="42" t="n">
        <x:v>60</x:v>
      </x:c>
      <x:c r="O518" s="42" t="n">
        <x:v>42</x:v>
      </x:c>
      <x:c r="P518" s="43" t="n">
        <x:f>IF(COUNT(J518:O518)=0,"",SUM(J518:O518))</x:f>
        <x:v>310</x:v>
      </x:c>
      <x:c r="Q518" s="23" t="str">
        <x:v>4 lignes de spawn</x:v>
      </x:c>
      <x:c r="R518" s="23" t="str">
        <x:v>Ce Pokémon fabrique ses propres vêtements. Il mâche des feuilles puis les coud à l'aide du fil collant qu'il produit par la bouche.</x:v>
      </x:c>
      <x:c r="S518" s="23" t="str">
        <x:v>Égalité de fréquence; prix provisoire basé sur le palier le plus élevé.</x:v>
      </x:c>
      <x:c r="T518" s="23" t="str">
        <x:v>https://pixelmonmod.com/wiki/Sewaddle</x:v>
      </x:c>
    </x:row>
    <x:row r="519" ht="54" customHeight="1">
      <x:c r="A519" s="27" t="n">
        <x:v>541</x:v>
      </x:c>
      <x:c r="B519" s="23" t="str">
        <x:v>Couverdure</x:v>
      </x:c>
      <x:c r="C519" s="23" t="str">
        <x:v>Swadloon</x:v>
      </x:c>
      <x:c r="D519" s="23" t="str">
        <x:v>Insecte</x:v>
      </x:c>
      <x:c r="E519" s="23" t="str">
        <x:v>Plante</x:v>
      </x:c>
      <x:c r="F519" s="23" t="str">
        <x:v>Uncommon / Rare</x:v>
      </x:c>
      <x:c r="G519" s="45" t="n">
        <x:v>12000</x:v>
      </x:c>
      <x:c r="H519" s="45" t="n">
        <x:f>IF(G519="","",ROUNDUP(G519*3,0))</x:f>
        <x:v>36000</x:v>
      </x:c>
      <x:c r="I519" s="41" t="n">
        <x:v>0.5</x:v>
      </x:c>
      <x:c r="J519" s="42" t="n">
        <x:v>55</x:v>
      </x:c>
      <x:c r="K519" s="42" t="n">
        <x:v>63</x:v>
      </x:c>
      <x:c r="L519" s="42" t="n">
        <x:v>90</x:v>
      </x:c>
      <x:c r="M519" s="42" t="n">
        <x:v>50</x:v>
      </x:c>
      <x:c r="N519" s="42" t="n">
        <x:v>80</x:v>
      </x:c>
      <x:c r="O519" s="42" t="n">
        <x:v>42</x:v>
      </x:c>
      <x:c r="P519" s="43" t="n">
        <x:f>IF(COUNT(J519:O519)=0,"",SUM(J519:O519))</x:f>
        <x:v>380</x:v>
      </x:c>
      <x:c r="Q519" s="23" t="str">
        <x:v>4 lignes de spawn</x:v>
      </x:c>
      <x:c r="R519" s="23" t="str">
        <x:v>Les forêts où vit Couverdure possèdent un feuillage luxuriant, car les nutriments qu'il produit à partir des feuilles mortes nourrissent la végétation.</x:v>
      </x:c>
      <x:c r="S519" s="23" t="str">
        <x:v>Égalité de fréquence; prix provisoire basé sur le palier le plus élevé.</x:v>
      </x:c>
      <x:c r="T519" s="23" t="str">
        <x:v>https://pixelmonmod.com/wiki/Swadloon</x:v>
      </x:c>
    </x:row>
    <x:row r="520" ht="54" customHeight="1">
      <x:c r="A520" s="27" t="n">
        <x:v>542</x:v>
      </x:c>
      <x:c r="B520" s="23" t="str">
        <x:v>Manternel</x:v>
      </x:c>
      <x:c r="C520" s="23" t="str">
        <x:v>Leavanny</x:v>
      </x:c>
      <x:c r="D520" s="23" t="str">
        <x:v>Insecte</x:v>
      </x:c>
      <x:c r="E520" s="23" t="str">
        <x:v>Plante</x:v>
      </x:c>
      <x:c r="F520" s="23" t="str">
        <x:v>Ultra Rare</x:v>
      </x:c>
      <x:c r="G520" s="45" t="n">
        <x:v>75000</x:v>
      </x:c>
      <x:c r="H520" s="45" t="n">
        <x:f>IF(G520="","",ROUNDUP(G520*3,0))</x:f>
        <x:v>225000</x:v>
      </x:c>
      <x:c r="I520" s="41" t="n">
        <x:v>1</x:v>
      </x:c>
      <x:c r="J520" s="42" t="n">
        <x:v>75</x:v>
      </x:c>
      <x:c r="K520" s="42" t="n">
        <x:v>103</x:v>
      </x:c>
      <x:c r="L520" s="42" t="n">
        <x:v>80</x:v>
      </x:c>
      <x:c r="M520" s="42" t="n">
        <x:v>70</x:v>
      </x:c>
      <x:c r="N520" s="42" t="n">
        <x:v>80</x:v>
      </x:c>
      <x:c r="O520" s="42" t="n">
        <x:v>92</x:v>
      </x:c>
      <x:c r="P520" s="43" t="n">
        <x:f>IF(COUNT(J520:O520)=0,"",SUM(J520:O520))</x:f>
        <x:v>500</x:v>
      </x:c>
      <x:c r="Q520" s="23" t="str">
        <x:v>2 lignes de spawn</x:v>
      </x:c>
      <x:c r="R520" s="23" t="str">
        <x:v>Lorsqu'il trouve un petit Pokémon, il lui tisse des vêtements en feuilles grâce à la soie collante sécrétée par sa bouche.</x:v>
      </x:c>
      <x:c r="S520" s="23" t="str"/>
      <x:c r="T520" s="23" t="str">
        <x:v>https://pixelmonmod.com/wiki/Leavanny</x:v>
      </x:c>
    </x:row>
    <x:row r="521" ht="54" customHeight="1">
      <x:c r="A521" s="27" t="n">
        <x:v>543</x:v>
      </x:c>
      <x:c r="B521" s="23" t="str">
        <x:v>Venipatte</x:v>
      </x:c>
      <x:c r="C521" s="23" t="str">
        <x:v>Venipede</x:v>
      </x:c>
      <x:c r="D521" s="23" t="str">
        <x:v>Insecte</x:v>
      </x:c>
      <x:c r="E521" s="23" t="str">
        <x:v>Poison</x:v>
      </x:c>
      <x:c r="F521" s="23" t="str">
        <x:v>Common / Uncommon</x:v>
      </x:c>
      <x:c r="G521" s="45" t="n">
        <x:v>5000</x:v>
      </x:c>
      <x:c r="H521" s="45" t="n">
        <x:f>IF(G521="","",ROUNDUP(G521*3,0))</x:f>
        <x:v>15000</x:v>
      </x:c>
      <x:c r="I521" s="41" t="n">
        <x:v>0.5</x:v>
      </x:c>
      <x:c r="J521" s="42" t="n">
        <x:v>30</x:v>
      </x:c>
      <x:c r="K521" s="42" t="n">
        <x:v>45</x:v>
      </x:c>
      <x:c r="L521" s="42" t="n">
        <x:v>59</x:v>
      </x:c>
      <x:c r="M521" s="42" t="n">
        <x:v>30</x:v>
      </x:c>
      <x:c r="N521" s="42" t="n">
        <x:v>39</x:v>
      </x:c>
      <x:c r="O521" s="42" t="n">
        <x:v>57</x:v>
      </x:c>
      <x:c r="P521" s="43" t="n">
        <x:f>IF(COUNT(J521:O521)=0,"",SUM(J521:O521))</x:f>
        <x:v>260</x:v>
      </x:c>
      <x:c r="Q521" s="23" t="str">
        <x:v>2 lignes de spawn</x:v>
      </x:c>
      <x:c r="R521" s="23" t="str">
        <x:v>Il perçoit son environnement grâce aux antennes de sa tête et de sa queue. Il est d'une agressivité féroce.</x:v>
      </x:c>
      <x:c r="S521" s="23" t="str">
        <x:v>Égalité de fréquence; prix provisoire basé sur le palier le plus élevé.</x:v>
      </x:c>
      <x:c r="T521" s="23" t="str">
        <x:v>https://pixelmonmod.com/wiki/Venipede</x:v>
      </x:c>
    </x:row>
    <x:row r="522" ht="54" customHeight="1">
      <x:c r="A522" s="27" t="n">
        <x:v>544</x:v>
      </x:c>
      <x:c r="B522" s="23" t="str">
        <x:v>Escargaume</x:v>
      </x:c>
      <x:c r="C522" s="23" t="str">
        <x:v>Whirlipede</x:v>
      </x:c>
      <x:c r="D522" s="23" t="str">
        <x:v>Insecte</x:v>
      </x:c>
      <x:c r="E522" s="23" t="str">
        <x:v>Poison</x:v>
      </x:c>
      <x:c r="F522" s="23" t="str">
        <x:v>Uncommon / Rare</x:v>
      </x:c>
      <x:c r="G522" s="45" t="n">
        <x:v>12000</x:v>
      </x:c>
      <x:c r="H522" s="45" t="n">
        <x:f>IF(G522="","",ROUNDUP(G522*3,0))</x:f>
        <x:v>36000</x:v>
      </x:c>
      <x:c r="I522" s="41" t="n">
        <x:v>0.5</x:v>
      </x:c>
      <x:c r="J522" s="42" t="n">
        <x:v>40</x:v>
      </x:c>
      <x:c r="K522" s="42" t="n">
        <x:v>55</x:v>
      </x:c>
      <x:c r="L522" s="42" t="n">
        <x:v>99</x:v>
      </x:c>
      <x:c r="M522" s="42" t="n">
        <x:v>40</x:v>
      </x:c>
      <x:c r="N522" s="42" t="n">
        <x:v>79</x:v>
      </x:c>
      <x:c r="O522" s="42" t="n">
        <x:v>47</x:v>
      </x:c>
      <x:c r="P522" s="43" t="n">
        <x:f>IF(COUNT(J522:O522)=0,"",SUM(J522:O522))</x:f>
        <x:v>360</x:v>
      </x:c>
      <x:c r="Q522" s="23" t="str">
        <x:v>2 lignes de spawn</x:v>
      </x:c>
      <x:c r="R522" s="23" t="str">
        <x:v>Protégé par une carapace solide, il tourne son corps comme une roue et percute violemment ses ennemis.</x:v>
      </x:c>
      <x:c r="S522" s="23" t="str">
        <x:v>Égalité de fréquence; prix provisoire basé sur le palier le plus élevé.</x:v>
      </x:c>
      <x:c r="T522" s="23" t="str">
        <x:v>https://pixelmonmod.com/wiki/Whirlipede</x:v>
      </x:c>
    </x:row>
    <x:row r="523" ht="54" customHeight="1">
      <x:c r="A523" s="27" t="n">
        <x:v>545</x:v>
      </x:c>
      <x:c r="B523" s="23" t="str">
        <x:v>Brutapode</x:v>
      </x:c>
      <x:c r="C523" s="23" t="str">
        <x:v>Scolipede</x:v>
      </x:c>
      <x:c r="D523" s="23" t="str">
        <x:v>Insecte</x:v>
      </x:c>
      <x:c r="E523" s="23" t="str">
        <x:v>Poison</x:v>
      </x:c>
      <x:c r="F523" s="23" t="str">
        <x:v>Ultra Rare</x:v>
      </x:c>
      <x:c r="G523" s="45" t="n">
        <x:v>75000</x:v>
      </x:c>
      <x:c r="H523" s="45" t="n">
        <x:f>IF(G523="","",ROUNDUP(G523*3,0))</x:f>
        <x:v>225000</x:v>
      </x:c>
      <x:c r="I523" s="41" t="n">
        <x:v>0.667</x:v>
      </x:c>
      <x:c r="J523" s="42" t="n">
        <x:v>60</x:v>
      </x:c>
      <x:c r="K523" s="42" t="n">
        <x:v>100</x:v>
      </x:c>
      <x:c r="L523" s="42" t="n">
        <x:v>89</x:v>
      </x:c>
      <x:c r="M523" s="42" t="n">
        <x:v>55</x:v>
      </x:c>
      <x:c r="N523" s="42" t="n">
        <x:v>69</x:v>
      </x:c>
      <x:c r="O523" s="42" t="n">
        <x:v>112</x:v>
      </x:c>
      <x:c r="P523" s="43" t="n">
        <x:f>IF(COUNT(J523:O523)=0,"",SUM(J523:O523))</x:f>
        <x:v>485</x:v>
      </x:c>
      <x:c r="Q523" s="23" t="str">
        <x:v>3 lignes de spawn</x:v>
      </x:c>
      <x:c r="R523" s="23" t="str">
        <x:v>Il enserre sa proie avec les pinces de son cou jusqu'à ce qu'elle cesse de bouger, puis l'achève grâce à son venin mortel.</x:v>
      </x:c>
      <x:c r="S523" s="23" t="str"/>
      <x:c r="T523" s="23" t="str">
        <x:v>https://pixelmonmod.com/wiki/Scolipede</x:v>
      </x:c>
    </x:row>
    <x:row r="524" ht="54" customHeight="1">
      <x:c r="A524" s="27" t="n">
        <x:v>546</x:v>
      </x:c>
      <x:c r="B524" s="23" t="str">
        <x:v>Doudouvet</x:v>
      </x:c>
      <x:c r="C524" s="23" t="str">
        <x:v>Cottonee</x:v>
      </x:c>
      <x:c r="D524" s="23" t="str">
        <x:v>Plante</x:v>
      </x:c>
      <x:c r="E524" s="23" t="str">
        <x:v>Fée</x:v>
      </x:c>
      <x:c r="F524" s="23" t="str">
        <x:v>Uncommon</x:v>
      </x:c>
      <x:c r="G524" s="45" t="n">
        <x:v>5000</x:v>
      </x:c>
      <x:c r="H524" s="45" t="n">
        <x:f>IF(G524="","",ROUNDUP(G524*3,0))</x:f>
        <x:v>15000</x:v>
      </x:c>
      <x:c r="I524" s="41" t="n">
        <x:v>1</x:v>
      </x:c>
      <x:c r="J524" s="42" t="n">
        <x:v>40</x:v>
      </x:c>
      <x:c r="K524" s="42" t="n">
        <x:v>27</x:v>
      </x:c>
      <x:c r="L524" s="42" t="n">
        <x:v>60</x:v>
      </x:c>
      <x:c r="M524" s="42" t="n">
        <x:v>37</x:v>
      </x:c>
      <x:c r="N524" s="42" t="n">
        <x:v>50</x:v>
      </x:c>
      <x:c r="O524" s="42" t="n">
        <x:v>66</x:v>
      </x:c>
      <x:c r="P524" s="43" t="n">
        <x:f>IF(COUNT(J524:O524)=0,"",SUM(J524:O524))</x:f>
        <x:v>280</x:v>
      </x:c>
      <x:c r="Q524" s="23" t="str">
        <x:v>1 lignes de spawn</x:v>
      </x:c>
      <x:c r="R524" s="23" t="str">
        <x:v>Lorsqu'il est attaqué, il s'échappe en projetant du coton de son corps. Celui-ci sert de leurre pour distraire l'assaillant.</x:v>
      </x:c>
      <x:c r="S524" s="23" t="str"/>
      <x:c r="T524" s="23" t="str">
        <x:v>https://pixelmonmod.com/wiki/Cottonee</x:v>
      </x:c>
    </x:row>
    <x:row r="525" ht="54" customHeight="1">
      <x:c r="A525" s="27" t="n">
        <x:v>547</x:v>
      </x:c>
      <x:c r="B525" s="23" t="str">
        <x:v>Farfaduvet</x:v>
      </x:c>
      <x:c r="C525" s="23" t="str">
        <x:v>Whimsicott</x:v>
      </x:c>
      <x:c r="D525" s="23" t="str">
        <x:v>Plante</x:v>
      </x:c>
      <x:c r="E525" s="23" t="str">
        <x:v>Fée</x:v>
      </x:c>
      <x:c r="F525" s="23" t="str">
        <x:v>Ultra Rare</x:v>
      </x:c>
      <x:c r="G525" s="45" t="n">
        <x:v>75000</x:v>
      </x:c>
      <x:c r="H525" s="45" t="n">
        <x:f>IF(G525="","",ROUNDUP(G525*3,0))</x:f>
        <x:v>225000</x:v>
      </x:c>
      <x:c r="I525" s="41" t="n">
        <x:v>1</x:v>
      </x:c>
      <x:c r="J525" s="42" t="n">
        <x:v>60</x:v>
      </x:c>
      <x:c r="K525" s="42" t="n">
        <x:v>67</x:v>
      </x:c>
      <x:c r="L525" s="42" t="n">
        <x:v>85</x:v>
      </x:c>
      <x:c r="M525" s="42" t="n">
        <x:v>77</x:v>
      </x:c>
      <x:c r="N525" s="42" t="n">
        <x:v>75</x:v>
      </x:c>
      <x:c r="O525" s="42" t="n">
        <x:v>116</x:v>
      </x:c>
      <x:c r="P525" s="43" t="n">
        <x:f>IF(COUNT(J525:O525)=0,"",SUM(J525:O525))</x:f>
        <x:v>480</x:v>
      </x:c>
      <x:c r="Q525" s="23" t="str">
        <x:v>1 lignes de spawn</x:v>
      </x:c>
      <x:c r="R525" s="23" t="str">
        <x:v>Il apparaît avec les tourbillons de vent. Il adore faire des farces, comme déplacer des meubles ou laisser des boules de coton dans les maisons.</x:v>
      </x:c>
      <x:c r="S525" s="23" t="str"/>
      <x:c r="T525" s="23" t="str">
        <x:v>https://pixelmonmod.com/wiki/Whimsicott</x:v>
      </x:c>
    </x:row>
    <x:row r="526" ht="54" customHeight="1">
      <x:c r="A526" s="27" t="n">
        <x:v>548</x:v>
      </x:c>
      <x:c r="B526" s="23" t="str">
        <x:v>Chlorobule</x:v>
      </x:c>
      <x:c r="C526" s="23" t="str">
        <x:v>Petilil</x:v>
      </x:c>
      <x:c r="D526" s="23" t="str">
        <x:v>Plante</x:v>
      </x:c>
      <x:c r="E526" s="23" t="str"/>
      <x:c r="F526" s="23" t="str">
        <x:v>Uncommon</x:v>
      </x:c>
      <x:c r="G526" s="45" t="n">
        <x:v>5000</x:v>
      </x:c>
      <x:c r="H526" s="45" t="n">
        <x:f>IF(G526="","",ROUNDUP(G526*3,0))</x:f>
        <x:v>15000</x:v>
      </x:c>
      <x:c r="I526" s="41" t="n">
        <x:v>1</x:v>
      </x:c>
      <x:c r="J526" s="42" t="n">
        <x:v>45</x:v>
      </x:c>
      <x:c r="K526" s="42" t="n">
        <x:v>35</x:v>
      </x:c>
      <x:c r="L526" s="42" t="n">
        <x:v>50</x:v>
      </x:c>
      <x:c r="M526" s="42" t="n">
        <x:v>70</x:v>
      </x:c>
      <x:c r="N526" s="42" t="n">
        <x:v>50</x:v>
      </x:c>
      <x:c r="O526" s="42" t="n">
        <x:v>30</x:v>
      </x:c>
      <x:c r="P526" s="43" t="n">
        <x:f>IF(COUNT(J526:O526)=0,"",SUM(J526:O526))</x:f>
        <x:v>280</x:v>
      </x:c>
      <x:c r="Q526" s="23" t="str">
        <x:v>2 lignes de spawn</x:v>
      </x:c>
      <x:c r="R526" s="23" t="str">
        <x:v>Les feuilles sur sa tête sont très amères. En manger une revigore un corps fatigué.</x:v>
      </x:c>
      <x:c r="S526" s="23" t="str"/>
      <x:c r="T526" s="23" t="str">
        <x:v>https://pixelmonmod.com/wiki/Petilil</x:v>
      </x:c>
    </x:row>
    <x:row r="527" ht="54" customHeight="1">
      <x:c r="A527" s="27" t="n">
        <x:v>549</x:v>
      </x:c>
      <x:c r="B527" s="23" t="str">
        <x:v>Fragilady</x:v>
      </x:c>
      <x:c r="C527" s="23" t="str">
        <x:v>Lilligant</x:v>
      </x:c>
      <x:c r="D527" s="23" t="str">
        <x:v>Plante</x:v>
      </x:c>
      <x:c r="E527" s="23" t="str"/>
      <x:c r="F527" s="23" t="str">
        <x:v>Ultra Rare</x:v>
      </x:c>
      <x:c r="G527" s="45" t="n">
        <x:v>75000</x:v>
      </x:c>
      <x:c r="H527" s="45" t="n">
        <x:f>IF(G527="","",ROUNDUP(G527*3,0))</x:f>
        <x:v>225000</x:v>
      </x:c>
      <x:c r="I527" s="41" t="n">
        <x:v>1</x:v>
      </x:c>
      <x:c r="J527" s="42" t="n">
        <x:v>70</x:v>
      </x:c>
      <x:c r="K527" s="42" t="n">
        <x:v>60</x:v>
      </x:c>
      <x:c r="L527" s="42" t="n">
        <x:v>75</x:v>
      </x:c>
      <x:c r="M527" s="42" t="n">
        <x:v>110</x:v>
      </x:c>
      <x:c r="N527" s="42" t="n">
        <x:v>75</x:v>
      </x:c>
      <x:c r="O527" s="42" t="n">
        <x:v>90</x:v>
      </x:c>
      <x:c r="P527" s="43" t="n">
        <x:f>IF(COUNT(J527:O527)=0,"",SUM(J527:O527))</x:f>
        <x:v>480</x:v>
      </x:c>
      <x:c r="Q527" s="23" t="str">
        <x:v>3 lignes de spawn</x:v>
      </x:c>
      <x:c r="R527" s="23" t="str">
        <x:v>Le parfum de la couronne de fleurs sur sa tête a un effet apaisant. Elle se fane si son Dresseur ne prend pas soin d'elle.</x:v>
      </x:c>
      <x:c r="S527" s="23" t="str"/>
      <x:c r="T527" s="23" t="str">
        <x:v>https://pixelmonmod.com/wiki/Lilligant</x:v>
      </x:c>
    </x:row>
    <x:row r="528" ht="54" customHeight="1">
      <x:c r="A528" s="27" t="n">
        <x:v>550</x:v>
      </x:c>
      <x:c r="B528" s="23" t="str">
        <x:v>Bargantua</x:v>
      </x:c>
      <x:c r="C528" s="23" t="str">
        <x:v>Basculin</x:v>
      </x:c>
      <x:c r="D528" s="23" t="str">
        <x:v>Eau</x:v>
      </x:c>
      <x:c r="E528" s="23" t="str"/>
      <x:c r="F528" s="23" t="str">
        <x:v>Uncommon</x:v>
      </x:c>
      <x:c r="G528" s="45" t="n">
        <x:v>5000</x:v>
      </x:c>
      <x:c r="H528" s="45" t="n">
        <x:f>IF(G528="","",ROUNDUP(G528*3,0))</x:f>
        <x:v>15000</x:v>
      </x:c>
      <x:c r="I528" s="41" t="n">
        <x:v>0.682</x:v>
      </x:c>
      <x:c r="J528" s="42" t="n">
        <x:v>70</x:v>
      </x:c>
      <x:c r="K528" s="42" t="n">
        <x:v>92</x:v>
      </x:c>
      <x:c r="L528" s="42" t="n">
        <x:v>65</x:v>
      </x:c>
      <x:c r="M528" s="42" t="n">
        <x:v>80</x:v>
      </x:c>
      <x:c r="N528" s="42" t="n">
        <x:v>55</x:v>
      </x:c>
      <x:c r="O528" s="42" t="n">
        <x:v>98</x:v>
      </x:c>
      <x:c r="P528" s="43" t="n">
        <x:f>IF(COUNT(J528:O528)=0,"",SUM(J528:O528))</x:f>
        <x:v>460</x:v>
      </x:c>
      <x:c r="Q528" s="23" t="str">
        <x:v>22 lignes de spawn</x:v>
      </x:c>
      <x:c r="R528" s="23" t="str">
        <x:v>Les Bargantua à rayures rouges et bleues sont très violents et se battent sans cesse. Ils sont aussi remarquablement délicieux.</x:v>
      </x:c>
      <x:c r="S528" s="23" t="str"/>
      <x:c r="T528" s="23" t="str">
        <x:v>https://pixelmonmod.com/wiki/Basculin</x:v>
      </x:c>
    </x:row>
    <x:row r="529" ht="54" customHeight="1">
      <x:c r="A529" s="27" t="n">
        <x:v>551</x:v>
      </x:c>
      <x:c r="B529" s="23" t="str">
        <x:v>Mascaïman</x:v>
      </x:c>
      <x:c r="C529" s="23" t="str">
        <x:v>Sandile</x:v>
      </x:c>
      <x:c r="D529" s="23" t="str">
        <x:v>Sol</x:v>
      </x:c>
      <x:c r="E529" s="23" t="str">
        <x:v>Ténèbres</x:v>
      </x:c>
      <x:c r="F529" s="23" t="str">
        <x:v>Uncommon</x:v>
      </x:c>
      <x:c r="G529" s="45" t="n">
        <x:v>5000</x:v>
      </x:c>
      <x:c r="H529" s="45" t="n">
        <x:f>IF(G529="","",ROUNDUP(G529*3,0))</x:f>
        <x:v>15000</x:v>
      </x:c>
      <x:c r="I529" s="41" t="n">
        <x:v>1</x:v>
      </x:c>
      <x:c r="J529" s="42" t="n">
        <x:v>50</x:v>
      </x:c>
      <x:c r="K529" s="42" t="n">
        <x:v>72</x:v>
      </x:c>
      <x:c r="L529" s="42" t="n">
        <x:v>35</x:v>
      </x:c>
      <x:c r="M529" s="42" t="n">
        <x:v>35</x:v>
      </x:c>
      <x:c r="N529" s="42" t="n">
        <x:v>35</x:v>
      </x:c>
      <x:c r="O529" s="42" t="n">
        <x:v>65</x:v>
      </x:c>
      <x:c r="P529" s="43" t="n">
        <x:f>IF(COUNT(J529:O529)=0,"",SUM(J529:O529))</x:f>
        <x:v>292</x:v>
      </x:c>
      <x:c r="Q529" s="23" t="str">
        <x:v>2 lignes de spawn</x:v>
      </x:c>
      <x:c r="R529" s="23" t="str">
        <x:v>Il se déplace sous la surface du sable, ne laissant dépasser que son nez et ses yeux. Une membrane sombre protège ses yeux du soleil.</x:v>
      </x:c>
      <x:c r="S529" s="23" t="str"/>
      <x:c r="T529" s="23" t="str">
        <x:v>https://pixelmonmod.com/wiki/Sandile</x:v>
      </x:c>
    </x:row>
    <x:row r="530" ht="54" customHeight="1">
      <x:c r="A530" s="27" t="n">
        <x:v>552</x:v>
      </x:c>
      <x:c r="B530" s="23" t="str">
        <x:v>Escroco</x:v>
      </x:c>
      <x:c r="C530" s="23" t="str">
        <x:v>Krokorok</x:v>
      </x:c>
      <x:c r="D530" s="23" t="str">
        <x:v>Sol</x:v>
      </x:c>
      <x:c r="E530" s="23" t="str">
        <x:v>Ténèbres</x:v>
      </x:c>
      <x:c r="F530" s="23" t="str">
        <x:v>Rare / Ultra Rare</x:v>
      </x:c>
      <x:c r="G530" s="45" t="n">
        <x:v>75000</x:v>
      </x:c>
      <x:c r="H530" s="45" t="n">
        <x:f>IF(G530="","",ROUNDUP(G530*3,0))</x:f>
        <x:v>225000</x:v>
      </x:c>
      <x:c r="I530" s="41" t="n">
        <x:v>0.5</x:v>
      </x:c>
      <x:c r="J530" s="42" t="n">
        <x:v>60</x:v>
      </x:c>
      <x:c r="K530" s="42" t="n">
        <x:v>82</x:v>
      </x:c>
      <x:c r="L530" s="42" t="n">
        <x:v>45</x:v>
      </x:c>
      <x:c r="M530" s="42" t="n">
        <x:v>45</x:v>
      </x:c>
      <x:c r="N530" s="42" t="n">
        <x:v>45</x:v>
      </x:c>
      <x:c r="O530" s="42" t="n">
        <x:v>74</x:v>
      </x:c>
      <x:c r="P530" s="43" t="n">
        <x:f>IF(COUNT(J530:O530)=0,"",SUM(J530:O530))</x:f>
        <x:v>351</x:v>
      </x:c>
      <x:c r="Q530" s="23" t="str">
        <x:v>2 lignes de spawn</x:v>
      </x:c>
      <x:c r="R530" s="23" t="str">
        <x:v>Ils vivent en petits groupes. Des membranes protectrices recouvrent leurs yeux pour les protéger des tempêtes de sable.</x:v>
      </x:c>
      <x:c r="S530" s="23" t="str">
        <x:v>Égalité de fréquence; prix provisoire basé sur le palier le plus élevé.</x:v>
      </x:c>
      <x:c r="T530" s="23" t="str">
        <x:v>https://pixelmonmod.com/wiki/Krokorok</x:v>
      </x:c>
    </x:row>
    <x:row r="531" ht="54" customHeight="1">
      <x:c r="A531" s="27" t="n">
        <x:v>553</x:v>
      </x:c>
      <x:c r="B531" s="23" t="str">
        <x:v>Crocorible</x:v>
      </x:c>
      <x:c r="C531" s="23" t="str">
        <x:v>Krookodile</x:v>
      </x:c>
      <x:c r="D531" s="23" t="str">
        <x:v>Sol</x:v>
      </x:c>
      <x:c r="E531" s="23" t="str">
        <x:v>Ténèbres</x:v>
      </x:c>
      <x:c r="F531" s="23" t="str">
        <x:v>Ultra Rare</x:v>
      </x:c>
      <x:c r="G531" s="45" t="n">
        <x:v>75000</x:v>
      </x:c>
      <x:c r="H531" s="45" t="n">
        <x:f>IF(G531="","",ROUNDUP(G531*3,0))</x:f>
        <x:v>225000</x:v>
      </x:c>
      <x:c r="I531" s="41" t="n">
        <x:v>1</x:v>
      </x:c>
      <x:c r="J531" s="42" t="n">
        <x:v>95</x:v>
      </x:c>
      <x:c r="K531" s="42" t="n">
        <x:v>117</x:v>
      </x:c>
      <x:c r="L531" s="42" t="n">
        <x:v>80</x:v>
      </x:c>
      <x:c r="M531" s="42" t="n">
        <x:v>65</x:v>
      </x:c>
      <x:c r="N531" s="42" t="n">
        <x:v>70</x:v>
      </x:c>
      <x:c r="O531" s="42" t="n">
        <x:v>92</x:v>
      </x:c>
      <x:c r="P531" s="43" t="n">
        <x:f>IF(COUNT(J531:O531)=0,"",SUM(J531:O531))</x:f>
        <x:v>519</x:v>
      </x:c>
      <x:c r="Q531" s="23" t="str">
        <x:v>2 lignes de spawn</x:v>
      </x:c>
      <x:c r="R531" s="23" t="str">
        <x:v>Pokémon très violent, il tente de mordre tout ce qui bouge devant ses yeux.</x:v>
      </x:c>
      <x:c r="S531" s="23" t="str"/>
      <x:c r="T531" s="23" t="str">
        <x:v>https://pixelmonmod.com/wiki/Krookodile</x:v>
      </x:c>
    </x:row>
    <x:row r="532" ht="54" customHeight="1">
      <x:c r="A532" s="27" t="n">
        <x:v>554</x:v>
      </x:c>
      <x:c r="B532" s="23" t="str">
        <x:v>Darumarond</x:v>
      </x:c>
      <x:c r="C532" s="23" t="str">
        <x:v>Darumaka</x:v>
      </x:c>
      <x:c r="D532" s="23" t="str">
        <x:v>Feu</x:v>
      </x:c>
      <x:c r="E532" s="23" t="str"/>
      <x:c r="F532" s="23" t="str">
        <x:v>Uncommon / Very Rare</x:v>
      </x:c>
      <x:c r="G532" s="45" t="n">
        <x:v>30000</x:v>
      </x:c>
      <x:c r="H532" s="45" t="n">
        <x:f>IF(G532="","",ROUNDUP(G532*3,0))</x:f>
        <x:v>90000</x:v>
      </x:c>
      <x:c r="I532" s="41" t="n">
        <x:v>0.5</x:v>
      </x:c>
      <x:c r="J532" s="42" t="n">
        <x:v>70</x:v>
      </x:c>
      <x:c r="K532" s="42" t="n">
        <x:v>90</x:v>
      </x:c>
      <x:c r="L532" s="42" t="n">
        <x:v>45</x:v>
      </x:c>
      <x:c r="M532" s="42" t="n">
        <x:v>15</x:v>
      </x:c>
      <x:c r="N532" s="42" t="n">
        <x:v>45</x:v>
      </x:c>
      <x:c r="O532" s="42" t="n">
        <x:v>50</x:v>
      </x:c>
      <x:c r="P532" s="43" t="n">
        <x:f>IF(COUNT(J532:O532)=0,"",SUM(J532:O532))</x:f>
        <x:v>315</x:v>
      </x:c>
      <x:c r="Q532" s="23" t="str">
        <x:v>2 lignes de spawn</x:v>
      </x:c>
      <x:c r="R532" s="23" t="str">
        <x:v>Les crottes de Darumarond sont chaudes, et les gens avaient pour habitude de les glisser dans leurs vêtements pour se tenir chaud.</x:v>
      </x:c>
      <x:c r="S532" s="23" t="str">
        <x:v>Égalité de fréquence; prix provisoire basé sur le palier le plus élevé. Very Rare aligné sur le palier Super Rare (provisoire).</x:v>
      </x:c>
      <x:c r="T532" s="23" t="str">
        <x:v>https://pixelmonmod.com/wiki/Darumaka</x:v>
      </x:c>
    </x:row>
    <x:row r="533" ht="54" customHeight="1">
      <x:c r="A533" s="27" t="n">
        <x:v>555</x:v>
      </x:c>
      <x:c r="B533" s="23" t="str">
        <x:v>Darumacho</x:v>
      </x:c>
      <x:c r="C533" s="23" t="str">
        <x:v>Darmanitan</x:v>
      </x:c>
      <x:c r="D533" s="23" t="str">
        <x:v>Feu</x:v>
      </x:c>
      <x:c r="E533" s="23" t="str"/>
      <x:c r="F533" s="23" t="str">
        <x:v>Ultra Rare</x:v>
      </x:c>
      <x:c r="G533" s="45" t="n">
        <x:v>75000</x:v>
      </x:c>
      <x:c r="H533" s="45" t="n">
        <x:f>IF(G533="","",ROUNDUP(G533*3,0))</x:f>
        <x:v>225000</x:v>
      </x:c>
      <x:c r="I533" s="41" t="n">
        <x:v>0.667</x:v>
      </x:c>
      <x:c r="J533" s="42" t="n">
        <x:v>105</x:v>
      </x:c>
      <x:c r="K533" s="42" t="n">
        <x:v>140</x:v>
      </x:c>
      <x:c r="L533" s="42" t="n">
        <x:v>55</x:v>
      </x:c>
      <x:c r="M533" s="42" t="n">
        <x:v>30</x:v>
      </x:c>
      <x:c r="N533" s="42" t="n">
        <x:v>55</x:v>
      </x:c>
      <x:c r="O533" s="42" t="n">
        <x:v>95</x:v>
      </x:c>
      <x:c r="P533" s="43" t="n">
        <x:f>IF(COUNT(J533:O533)=0,"",SUM(J533:O533))</x:f>
        <x:v>480</x:v>
      </x:c>
      <x:c r="Q533" s="23" t="str">
        <x:v>3 lignes de spawn</x:v>
      </x:c>
      <x:c r="R533" s="23" t="str">
        <x:v>Lorsqu'il est blessé après un combat féroce, il se durcit et prend une forme semblable à de la pierre. Il médite alors et aiguise son esprit.</x:v>
      </x:c>
      <x:c r="S533" s="23" t="str"/>
      <x:c r="T533" s="23" t="str">
        <x:v>https://pixelmonmod.com/wiki/Darmanitan</x:v>
      </x:c>
    </x:row>
    <x:row r="534" ht="54" customHeight="1">
      <x:c r="A534" s="27" t="n">
        <x:v>556</x:v>
      </x:c>
      <x:c r="B534" s="23" t="str">
        <x:v>Maracachi</x:v>
      </x:c>
      <x:c r="C534" s="23" t="str">
        <x:v>Maractus</x:v>
      </x:c>
      <x:c r="D534" s="23" t="str">
        <x:v>Plante</x:v>
      </x:c>
      <x:c r="E534" s="23" t="str"/>
      <x:c r="F534" s="23" t="str">
        <x:v>Uncommon / Rare</x:v>
      </x:c>
      <x:c r="G534" s="45" t="n">
        <x:v>12000</x:v>
      </x:c>
      <x:c r="H534" s="45" t="n">
        <x:f>IF(G534="","",ROUNDUP(G534*3,0))</x:f>
        <x:v>36000</x:v>
      </x:c>
      <x:c r="I534" s="41" t="n">
        <x:v>0.5</x:v>
      </x:c>
      <x:c r="J534" s="42" t="n">
        <x:v>75</x:v>
      </x:c>
      <x:c r="K534" s="42" t="n">
        <x:v>86</x:v>
      </x:c>
      <x:c r="L534" s="42" t="n">
        <x:v>67</x:v>
      </x:c>
      <x:c r="M534" s="42" t="n">
        <x:v>106</x:v>
      </x:c>
      <x:c r="N534" s="42" t="n">
        <x:v>67</x:v>
      </x:c>
      <x:c r="O534" s="42" t="n">
        <x:v>60</x:v>
      </x:c>
      <x:c r="P534" s="43" t="n">
        <x:f>IF(COUNT(J534:O534)=0,"",SUM(J534:O534))</x:f>
        <x:v>461</x:v>
      </x:c>
      <x:c r="Q534" s="23" t="str">
        <x:v>4 lignes de spawn</x:v>
      </x:c>
      <x:c r="R534" s="23" t="str">
        <x:v>Il utilise un chant et une danse entraînants pour chasser les Pokémon Oiseaux qui convoitent les graines de ses fleurs.</x:v>
      </x:c>
      <x:c r="S534" s="23" t="str">
        <x:v>Égalité de fréquence; prix provisoire basé sur le palier le plus élevé.</x:v>
      </x:c>
      <x:c r="T534" s="23" t="str">
        <x:v>https://pixelmonmod.com/wiki/Maractus</x:v>
      </x:c>
    </x:row>
    <x:row r="535" ht="54" customHeight="1">
      <x:c r="A535" s="27" t="n">
        <x:v>557</x:v>
      </x:c>
      <x:c r="B535" s="23" t="str">
        <x:v>Crabicoque</x:v>
      </x:c>
      <x:c r="C535" s="23" t="str">
        <x:v>Dwebble</x:v>
      </x:c>
      <x:c r="D535" s="23" t="str">
        <x:v>Insecte</x:v>
      </x:c>
      <x:c r="E535" s="23" t="str">
        <x:v>Roche</x:v>
      </x:c>
      <x:c r="F535" s="23" t="str">
        <x:v>Uncommon</x:v>
      </x:c>
      <x:c r="G535" s="45" t="n">
        <x:v>5000</x:v>
      </x:c>
      <x:c r="H535" s="45" t="n">
        <x:f>IF(G535="","",ROUNDUP(G535*3,0))</x:f>
        <x:v>15000</x:v>
      </x:c>
      <x:c r="I535" s="41" t="n">
        <x:v>1</x:v>
      </x:c>
      <x:c r="J535" s="42" t="n">
        <x:v>50</x:v>
      </x:c>
      <x:c r="K535" s="42" t="n">
        <x:v>65</x:v>
      </x:c>
      <x:c r="L535" s="42" t="n">
        <x:v>85</x:v>
      </x:c>
      <x:c r="M535" s="42" t="n">
        <x:v>35</x:v>
      </x:c>
      <x:c r="N535" s="42" t="n">
        <x:v>35</x:v>
      </x:c>
      <x:c r="O535" s="42" t="n">
        <x:v>55</x:v>
      </x:c>
      <x:c r="P535" s="43" t="n">
        <x:f>IF(COUNT(J535:O535)=0,"",SUM(J535:O535))</x:f>
        <x:v>325</x:v>
      </x:c>
      <x:c r="Q535" s="23" t="str">
        <x:v>5 lignes de spawn</x:v>
      </x:c>
      <x:c r="R535" s="23" t="str">
        <x:v>Il creuse un trou dans une roche qui lui convient. Si cette roche se casse, le Pokémon reste agité jusqu'à ce qu'il en trouve une autre.</x:v>
      </x:c>
      <x:c r="S535" s="23" t="str"/>
      <x:c r="T535" s="23" t="str">
        <x:v>https://pixelmonmod.com/wiki/Dwebble</x:v>
      </x:c>
    </x:row>
    <x:row r="536" ht="54" customHeight="1">
      <x:c r="A536" s="27" t="n">
        <x:v>558</x:v>
      </x:c>
      <x:c r="B536" s="23" t="str">
        <x:v>Crabaraque</x:v>
      </x:c>
      <x:c r="C536" s="23" t="str">
        <x:v>Crustle</x:v>
      </x:c>
      <x:c r="D536" s="23" t="str">
        <x:v>Insecte</x:v>
      </x:c>
      <x:c r="E536" s="23" t="str">
        <x:v>Roche</x:v>
      </x:c>
      <x:c r="F536" s="23" t="str">
        <x:v>Ultra Rare</x:v>
      </x:c>
      <x:c r="G536" s="45" t="n">
        <x:v>75000</x:v>
      </x:c>
      <x:c r="H536" s="45" t="n">
        <x:f>IF(G536="","",ROUNDUP(G536*3,0))</x:f>
        <x:v>225000</x:v>
      </x:c>
      <x:c r="I536" s="41" t="n">
        <x:v>1</x:v>
      </x:c>
      <x:c r="J536" s="42" t="n">
        <x:v>70</x:v>
      </x:c>
      <x:c r="K536" s="42" t="n">
        <x:v>105</x:v>
      </x:c>
      <x:c r="L536" s="42" t="n">
        <x:v>125</x:v>
      </x:c>
      <x:c r="M536" s="42" t="n">
        <x:v>65</x:v>
      </x:c>
      <x:c r="N536" s="42" t="n">
        <x:v>75</x:v>
      </x:c>
      <x:c r="O536" s="42" t="n">
        <x:v>45</x:v>
      </x:c>
      <x:c r="P536" s="43" t="n">
        <x:f>IF(COUNT(J536:O536)=0,"",SUM(J536:O536))</x:f>
        <x:v>485</x:v>
      </x:c>
      <x:c r="Q536" s="23" t="str">
        <x:v>5 lignes de spawn</x:v>
      </x:c>
      <x:c r="R536" s="23" t="str">
        <x:v>Il possède des pattes d'une force prodigieuse, capables de transporter d'énormes blocs pendant plusieurs jours, même à travers des terres arides.</x:v>
      </x:c>
      <x:c r="S536" s="23" t="str"/>
      <x:c r="T536" s="23" t="str">
        <x:v>https://pixelmonmod.com/wiki/Crustle</x:v>
      </x:c>
    </x:row>
    <x:row r="537" ht="54" customHeight="1">
      <x:c r="A537" s="27" t="n">
        <x:v>559</x:v>
      </x:c>
      <x:c r="B537" s="23" t="str">
        <x:v>Baggiguane</x:v>
      </x:c>
      <x:c r="C537" s="23" t="str">
        <x:v>Scraggy</x:v>
      </x:c>
      <x:c r="D537" s="23" t="str">
        <x:v>Ténèbres</x:v>
      </x:c>
      <x:c r="E537" s="23" t="str">
        <x:v>Combat</x:v>
      </x:c>
      <x:c r="F537" s="23" t="str">
        <x:v>Uncommon</x:v>
      </x:c>
      <x:c r="G537" s="45" t="n">
        <x:v>5000</x:v>
      </x:c>
      <x:c r="H537" s="45" t="n">
        <x:f>IF(G537="","",ROUNDUP(G537*3,0))</x:f>
        <x:v>15000</x:v>
      </x:c>
      <x:c r="I537" s="41" t="n">
        <x:v>1</x:v>
      </x:c>
      <x:c r="J537" s="42" t="n">
        <x:v>50</x:v>
      </x:c>
      <x:c r="K537" s="42" t="n">
        <x:v>75</x:v>
      </x:c>
      <x:c r="L537" s="42" t="n">
        <x:v>70</x:v>
      </x:c>
      <x:c r="M537" s="42" t="n">
        <x:v>35</x:v>
      </x:c>
      <x:c r="N537" s="42" t="n">
        <x:v>70</x:v>
      </x:c>
      <x:c r="O537" s="42" t="n">
        <x:v>48</x:v>
      </x:c>
      <x:c r="P537" s="43" t="n">
        <x:f>IF(COUNT(J537:O537)=0,"",SUM(J537:O537))</x:f>
        <x:v>348</x:v>
      </x:c>
      <x:c r="Q537" s="23" t="str">
        <x:v>2 lignes de spawn</x:v>
      </x:c>
      <x:c r="R537" s="23" t="str">
        <x:v>Sa peau est élastique comme du caoutchouc ; il peut la remonter pour réduire les dégâts infligés.</x:v>
      </x:c>
      <x:c r="S537" s="23" t="str"/>
      <x:c r="T537" s="23" t="str">
        <x:v>https://pixelmonmod.com/wiki/Scraggy</x:v>
      </x:c>
    </x:row>
    <x:row r="538" ht="54" customHeight="1">
      <x:c r="A538" s="27" t="n">
        <x:v>560</x:v>
      </x:c>
      <x:c r="B538" s="23" t="str">
        <x:v>Baggaïd</x:v>
      </x:c>
      <x:c r="C538" s="23" t="str">
        <x:v>Scrafty</x:v>
      </x:c>
      <x:c r="D538" s="23" t="str">
        <x:v>Ténèbres</x:v>
      </x:c>
      <x:c r="E538" s="23" t="str">
        <x:v>Combat</x:v>
      </x:c>
      <x:c r="F538" s="23" t="str">
        <x:v>Rare / Ultra Rare</x:v>
      </x:c>
      <x:c r="G538" s="45" t="n">
        <x:v>75000</x:v>
      </x:c>
      <x:c r="H538" s="45" t="n">
        <x:f>IF(G538="","",ROUNDUP(G538*3,0))</x:f>
        <x:v>225000</x:v>
      </x:c>
      <x:c r="I538" s="41" t="n">
        <x:v>0.5</x:v>
      </x:c>
      <x:c r="J538" s="42" t="n">
        <x:v>65</x:v>
      </x:c>
      <x:c r="K538" s="42" t="n">
        <x:v>90</x:v>
      </x:c>
      <x:c r="L538" s="42" t="n">
        <x:v>115</x:v>
      </x:c>
      <x:c r="M538" s="42" t="n">
        <x:v>45</x:v>
      </x:c>
      <x:c r="N538" s="42" t="n">
        <x:v>115</x:v>
      </x:c>
      <x:c r="O538" s="42" t="n">
        <x:v>58</x:v>
      </x:c>
      <x:c r="P538" s="43" t="n">
        <x:f>IF(COUNT(J538:O538)=0,"",SUM(J538:O538))</x:f>
        <x:v>488</x:v>
      </x:c>
      <x:c r="Q538" s="23" t="str">
        <x:v>2 lignes de spawn</x:v>
      </x:c>
      <x:c r="R538" s="23" t="str">
        <x:v>Il remonte sa vieille peau pour se protéger avant de frapper. Plus sa crête est grande, plus il est respecté.</x:v>
      </x:c>
      <x:c r="S538" s="23" t="str">
        <x:v>Égalité de fréquence; prix provisoire basé sur le palier le plus élevé.</x:v>
      </x:c>
      <x:c r="T538" s="23" t="str">
        <x:v>https://pixelmonmod.com/wiki/Scrafty</x:v>
      </x:c>
    </x:row>
    <x:row r="539" ht="54" customHeight="1">
      <x:c r="A539" s="27" t="n">
        <x:v>561</x:v>
      </x:c>
      <x:c r="B539" s="23" t="str">
        <x:v>Cryptéro</x:v>
      </x:c>
      <x:c r="C539" s="23" t="str">
        <x:v>Sigilyph</x:v>
      </x:c>
      <x:c r="D539" s="23" t="str">
        <x:v>Psy</x:v>
      </x:c>
      <x:c r="E539" s="23" t="str">
        <x:v>Vol</x:v>
      </x:c>
      <x:c r="F539" s="23" t="str">
        <x:v>Ultra Rare</x:v>
      </x:c>
      <x:c r="G539" s="45" t="n">
        <x:v>75000</x:v>
      </x:c>
      <x:c r="H539" s="45" t="n">
        <x:f>IF(G539="","",ROUNDUP(G539*3,0))</x:f>
        <x:v>225000</x:v>
      </x:c>
      <x:c r="I539" s="41" t="n">
        <x:v>0.667</x:v>
      </x:c>
      <x:c r="J539" s="42" t="n">
        <x:v>72</x:v>
      </x:c>
      <x:c r="K539" s="42" t="n">
        <x:v>58</x:v>
      </x:c>
      <x:c r="L539" s="42" t="n">
        <x:v>80</x:v>
      </x:c>
      <x:c r="M539" s="42" t="n">
        <x:v>103</x:v>
      </x:c>
      <x:c r="N539" s="42" t="n">
        <x:v>80</x:v>
      </x:c>
      <x:c r="O539" s="42" t="n">
        <x:v>97</x:v>
      </x:c>
      <x:c r="P539" s="43" t="n">
        <x:f>IF(COUNT(J539:O539)=0,"",SUM(J539:O539))</x:f>
        <x:v>490</x:v>
      </x:c>
      <x:c r="Q539" s="23" t="str">
        <x:v>6 lignes de spawn</x:v>
      </x:c>
      <x:c r="R539" s="23" t="str">
        <x:v>Gardiens d'une cité ancienne, ils utilisent leurs pouvoirs psychiques pour attaquer les ennemis qui pénètrent sur leur territoire.</x:v>
      </x:c>
      <x:c r="S539" s="23" t="str"/>
      <x:c r="T539" s="23" t="str">
        <x:v>https://pixelmonmod.com/wiki/Sigilyph</x:v>
      </x:c>
    </x:row>
    <x:row r="540" ht="54" customHeight="1">
      <x:c r="A540" s="27" t="n">
        <x:v>562</x:v>
      </x:c>
      <x:c r="B540" s="23" t="str">
        <x:v>Mascaïman</x:v>
      </x:c>
      <x:c r="C540" s="23" t="str">
        <x:v>Yamask</x:v>
      </x:c>
      <x:c r="D540" s="23" t="str">
        <x:v>Spectre</x:v>
      </x:c>
      <x:c r="E540" s="23" t="str"/>
      <x:c r="F540" s="23" t="str">
        <x:v>Rare</x:v>
      </x:c>
      <x:c r="G540" s="45" t="n">
        <x:v>12000</x:v>
      </x:c>
      <x:c r="H540" s="45" t="n">
        <x:f>IF(G540="","",ROUNDUP(G540*3,0))</x:f>
        <x:v>36000</x:v>
      </x:c>
      <x:c r="I540" s="41" t="n">
        <x:v>0.625</x:v>
      </x:c>
      <x:c r="J540" s="42" t="n">
        <x:v>38</x:v>
      </x:c>
      <x:c r="K540" s="42" t="n">
        <x:v>30</x:v>
      </x:c>
      <x:c r="L540" s="42" t="n">
        <x:v>85</x:v>
      </x:c>
      <x:c r="M540" s="42" t="n">
        <x:v>55</x:v>
      </x:c>
      <x:c r="N540" s="42" t="n">
        <x:v>65</x:v>
      </x:c>
      <x:c r="O540" s="42" t="n">
        <x:v>30</x:v>
      </x:c>
      <x:c r="P540" s="43" t="n">
        <x:f>IF(COUNT(J540:O540)=0,"",SUM(J540:O540))</x:f>
        <x:v>303</x:v>
      </x:c>
      <x:c r="Q540" s="23" t="str">
        <x:v>8 lignes de spawn</x:v>
      </x:c>
      <x:c r="R540" s="23" t="str">
        <x:v>Ces Pokémon proviennent des esprits de personnes inhumées dans des tombes. Chacun conserve les souvenirs de sa vie passée.</x:v>
      </x:c>
      <x:c r="S540" s="23" t="str"/>
      <x:c r="T540" s="23" t="str">
        <x:v>https://pixelmonmod.com/wiki/Yamask</x:v>
      </x:c>
    </x:row>
    <x:row r="541" ht="54" customHeight="1">
      <x:c r="A541" s="27" t="n">
        <x:v>563</x:v>
      </x:c>
      <x:c r="B541" s="23" t="str">
        <x:v>Tutankafer</x:v>
      </x:c>
      <x:c r="C541" s="23" t="str">
        <x:v>Cofagrigus</x:v>
      </x:c>
      <x:c r="D541" s="23" t="str">
        <x:v>Spectre</x:v>
      </x:c>
      <x:c r="E541" s="23" t="str"/>
      <x:c r="F541" s="23" t="str">
        <x:v>Ultra Rare</x:v>
      </x:c>
      <x:c r="G541" s="45" t="n">
        <x:v>75000</x:v>
      </x:c>
      <x:c r="H541" s="45" t="n">
        <x:f>IF(G541="","",ROUNDUP(G541*3,0))</x:f>
        <x:v>225000</x:v>
      </x:c>
      <x:c r="I541" s="41" t="n">
        <x:v>0.857</x:v>
      </x:c>
      <x:c r="J541" s="42" t="n">
        <x:v>58</x:v>
      </x:c>
      <x:c r="K541" s="42" t="n">
        <x:v>50</x:v>
      </x:c>
      <x:c r="L541" s="42" t="n">
        <x:v>145</x:v>
      </x:c>
      <x:c r="M541" s="42" t="n">
        <x:v>95</x:v>
      </x:c>
      <x:c r="N541" s="42" t="n">
        <x:v>105</x:v>
      </x:c>
      <x:c r="O541" s="42" t="n">
        <x:v>30</x:v>
      </x:c>
      <x:c r="P541" s="43" t="n">
        <x:f>IF(COUNT(J541:O541)=0,"",SUM(J541:O541))</x:f>
        <x:v>483</x:v>
      </x:c>
      <x:c r="Q541" s="23" t="str">
        <x:v>7 lignes de spawn</x:v>
      </x:c>
      <x:c r="R541" s="23" t="str">
        <x:v>On raconte qu'il engloutit ceux qui s'approchent trop près et les transforme en momies. Il adore manger des pépites d'or.</x:v>
      </x:c>
      <x:c r="S541" s="23" t="str"/>
      <x:c r="T541" s="23" t="str">
        <x:v>https://pixelmonmod.com/wiki/Cofagrigus</x:v>
      </x:c>
    </x:row>
    <x:row r="542" ht="54" customHeight="1">
      <x:c r="A542" s="27" t="n">
        <x:v>564</x:v>
      </x:c>
      <x:c r="B542" s="23" t="str">
        <x:v>Carapagos</x:v>
      </x:c>
      <x:c r="C542" s="23" t="str">
        <x:v>Tirtouga</x:v>
      </x:c>
      <x:c r="D542" s="23" t="str">
        <x:v>Eau</x:v>
      </x:c>
      <x:c r="E542" s="23" t="str">
        <x:v>Roche</x:v>
      </x:c>
      <x:c r="F542" s="23" t="str">
        <x:v>Rare</x:v>
      </x:c>
      <x:c r="G542" s="45" t="n">
        <x:v>12000</x:v>
      </x:c>
      <x:c r="H542" s="45" t="n">
        <x:f>IF(G542="","",ROUNDUP(G542*3,0))</x:f>
        <x:v>36000</x:v>
      </x:c>
      <x:c r="I542" s="41" t="n">
        <x:v>1</x:v>
      </x:c>
      <x:c r="J542" s="42" t="n">
        <x:v>54</x:v>
      </x:c>
      <x:c r="K542" s="42" t="n">
        <x:v>78</x:v>
      </x:c>
      <x:c r="L542" s="42" t="n">
        <x:v>103</x:v>
      </x:c>
      <x:c r="M542" s="42" t="n">
        <x:v>53</x:v>
      </x:c>
      <x:c r="N542" s="42" t="n">
        <x:v>45</x:v>
      </x:c>
      <x:c r="O542" s="42" t="n">
        <x:v>22</x:v>
      </x:c>
      <x:c r="P542" s="43" t="n">
        <x:f>IF(COUNT(J542:O542)=0,"",SUM(J542:O542))</x:f>
        <x:v>355</x:v>
      </x:c>
      <x:c r="Q542" s="23" t="str">
        <x:v>1 lignes de spawn</x:v>
      </x:c>
      <x:c r="R542" s="23" t="str">
        <x:v>Il y a environ 100 millions d'années, ces Pokémon nageaient dans les océans. On pense qu'ils allaient aussi sur la terre ferme pour attaquer leurs proies.</x:v>
      </x:c>
      <x:c r="S542" s="23" t="str"/>
      <x:c r="T542" s="23" t="str">
        <x:v>https://pixelmonmod.com/wiki/Tirtouga</x:v>
      </x:c>
    </x:row>
    <x:row r="543" ht="54" customHeight="1">
      <x:c r="A543" s="27" t="n">
        <x:v>565</x:v>
      </x:c>
      <x:c r="B543" s="23" t="str">
        <x:v>Mégapagos</x:v>
      </x:c>
      <x:c r="C543" s="23" t="str">
        <x:v>Carracosta</x:v>
      </x:c>
      <x:c r="D543" s="23" t="str">
        <x:v>Eau</x:v>
      </x:c>
      <x:c r="E543" s="23" t="str">
        <x:v>Roche</x:v>
      </x:c>
      <x:c r="F543" s="23" t="str">
        <x:v>Ultra Rare</x:v>
      </x:c>
      <x:c r="G543" s="45" t="n">
        <x:v>75000</x:v>
      </x:c>
      <x:c r="H543" s="45" t="n">
        <x:f>IF(G543="","",ROUNDUP(G543*3,0))</x:f>
        <x:v>225000</x:v>
      </x:c>
      <x:c r="I543" s="41" t="n">
        <x:v>1</x:v>
      </x:c>
      <x:c r="J543" s="42" t="n">
        <x:v>74</x:v>
      </x:c>
      <x:c r="K543" s="42" t="n">
        <x:v>108</x:v>
      </x:c>
      <x:c r="L543" s="42" t="n">
        <x:v>133</x:v>
      </x:c>
      <x:c r="M543" s="42" t="n">
        <x:v>83</x:v>
      </x:c>
      <x:c r="N543" s="42" t="n">
        <x:v>65</x:v>
      </x:c>
      <x:c r="O543" s="42" t="n">
        <x:v>32</x:v>
      </x:c>
      <x:c r="P543" s="43" t="n">
        <x:f>IF(COUNT(J543:O543)=0,"",SUM(J543:O543))</x:f>
        <x:v>495</x:v>
      </x:c>
      <x:c r="Q543" s="23" t="str">
        <x:v>1 lignes de spawn</x:v>
      </x:c>
      <x:c r="R543" s="23" t="str">
        <x:v>Il peut vivre aussi bien dans l'océan que sur la terre ferme. Une seule de ses gifles suffit à ouvrir une brèche dans la coque d'un pétrolier.</x:v>
      </x:c>
      <x:c r="S543" s="23" t="str"/>
      <x:c r="T543" s="23" t="str">
        <x:v>https://pixelmonmod.com/wiki/Carracosta</x:v>
      </x:c>
    </x:row>
    <x:row r="544" ht="54" customHeight="1">
      <x:c r="A544" s="27" t="n">
        <x:v>566</x:v>
      </x:c>
      <x:c r="B544" s="23" t="str">
        <x:v>Arkéapti</x:v>
      </x:c>
      <x:c r="C544" s="23" t="str">
        <x:v>Archen</x:v>
      </x:c>
      <x:c r="D544" s="23" t="str">
        <x:v>Roche</x:v>
      </x:c>
      <x:c r="E544" s="23" t="str">
        <x:v>Vol</x:v>
      </x:c>
      <x:c r="F544" s="23" t="str">
        <x:v>Rare</x:v>
      </x:c>
      <x:c r="G544" s="45" t="n">
        <x:v>12000</x:v>
      </x:c>
      <x:c r="H544" s="45" t="n">
        <x:f>IF(G544="","",ROUNDUP(G544*3,0))</x:f>
        <x:v>36000</x:v>
      </x:c>
      <x:c r="I544" s="41" t="n">
        <x:v>1</x:v>
      </x:c>
      <x:c r="J544" s="42" t="n">
        <x:v>55</x:v>
      </x:c>
      <x:c r="K544" s="42" t="n">
        <x:v>112</x:v>
      </x:c>
      <x:c r="L544" s="42" t="n">
        <x:v>45</x:v>
      </x:c>
      <x:c r="M544" s="42" t="n">
        <x:v>74</x:v>
      </x:c>
      <x:c r="N544" s="42" t="n">
        <x:v>45</x:v>
      </x:c>
      <x:c r="O544" s="42" t="n">
        <x:v>70</x:v>
      </x:c>
      <x:c r="P544" s="43" t="n">
        <x:f>IF(COUNT(J544:O544)=0,"",SUM(J544:O544))</x:f>
        <x:v>401</x:v>
      </x:c>
      <x:c r="Q544" s="23" t="str">
        <x:v>1 lignes de spawn</x:v>
      </x:c>
      <x:c r="R544" s="23" t="str">
        <x:v>Ramené à la vie à partir d'un fossile, ce Pokémon serait l'ancêtre de tous les Pokémon Oiseau.</x:v>
      </x:c>
      <x:c r="S544" s="23" t="str"/>
      <x:c r="T544" s="23" t="str">
        <x:v>https://pixelmonmod.com/wiki/Archen</x:v>
      </x:c>
    </x:row>
    <x:row r="545" ht="54" customHeight="1">
      <x:c r="A545" s="27" t="n">
        <x:v>567</x:v>
      </x:c>
      <x:c r="B545" s="23" t="str">
        <x:v>Aéroptéryx</x:v>
      </x:c>
      <x:c r="C545" s="23" t="str">
        <x:v>Archeops</x:v>
      </x:c>
      <x:c r="D545" s="23" t="str">
        <x:v>Roche</x:v>
      </x:c>
      <x:c r="E545" s="23" t="str">
        <x:v>Vol</x:v>
      </x:c>
      <x:c r="F545" s="23" t="str">
        <x:v>Ultra Rare</x:v>
      </x:c>
      <x:c r="G545" s="45" t="n">
        <x:v>75000</x:v>
      </x:c>
      <x:c r="H545" s="45" t="n">
        <x:f>IF(G545="","",ROUNDUP(G545*3,0))</x:f>
        <x:v>225000</x:v>
      </x:c>
      <x:c r="I545" s="41" t="n">
        <x:v>1</x:v>
      </x:c>
      <x:c r="J545" s="42" t="n">
        <x:v>75</x:v>
      </x:c>
      <x:c r="K545" s="42" t="n">
        <x:v>140</x:v>
      </x:c>
      <x:c r="L545" s="42" t="n">
        <x:v>65</x:v>
      </x:c>
      <x:c r="M545" s="42" t="n">
        <x:v>112</x:v>
      </x:c>
      <x:c r="N545" s="42" t="n">
        <x:v>65</x:v>
      </x:c>
      <x:c r="O545" s="42" t="n">
        <x:v>110</x:v>
      </x:c>
      <x:c r="P545" s="43" t="n">
        <x:f>IF(COUNT(J545:O545)=0,"",SUM(J545:O545))</x:f>
        <x:v>567</x:v>
      </x:c>
      <x:c r="Q545" s="23" t="str">
        <x:v>1 lignes de spawn</x:v>
      </x:c>
      <x:c r="R545" s="23" t="str">
        <x:v>Ils sont intelligents et coopèrent pour capturer leurs proies. Au sol, ils prennent leur envol grâce à une course d'élan.</x:v>
      </x:c>
      <x:c r="S545" s="23" t="str"/>
      <x:c r="T545" s="23" t="str">
        <x:v>https://pixelmonmod.com/wiki/Archeops</x:v>
      </x:c>
    </x:row>
    <x:row r="546" ht="54" customHeight="1">
      <x:c r="A546" s="27" t="n">
        <x:v>568</x:v>
      </x:c>
      <x:c r="B546" s="23" t="str">
        <x:v>Miamiasme</x:v>
      </x:c>
      <x:c r="C546" s="23" t="str">
        <x:v>Trubbish</x:v>
      </x:c>
      <x:c r="D546" s="23" t="str">
        <x:v>Poison</x:v>
      </x:c>
      <x:c r="E546" s="23" t="str"/>
      <x:c r="F546" s="23" t="str">
        <x:v>Uncommon</x:v>
      </x:c>
      <x:c r="G546" s="45" t="n">
        <x:v>5000</x:v>
      </x:c>
      <x:c r="H546" s="45" t="n">
        <x:f>IF(G546="","",ROUNDUP(G546*3,0))</x:f>
        <x:v>15000</x:v>
      </x:c>
      <x:c r="I546" s="41" t="n">
        <x:v>1</x:v>
      </x:c>
      <x:c r="J546" s="42" t="n">
        <x:v>50</x:v>
      </x:c>
      <x:c r="K546" s="42" t="n">
        <x:v>50</x:v>
      </x:c>
      <x:c r="L546" s="42" t="n">
        <x:v>62</x:v>
      </x:c>
      <x:c r="M546" s="42" t="n">
        <x:v>40</x:v>
      </x:c>
      <x:c r="N546" s="42" t="n">
        <x:v>62</x:v>
      </x:c>
      <x:c r="O546" s="42" t="n">
        <x:v>65</x:v>
      </x:c>
      <x:c r="P546" s="43" t="n">
        <x:f>IF(COUNT(J546:O546)=0,"",SUM(J546:O546))</x:f>
        <x:v>329</x:v>
      </x:c>
      <x:c r="Q546" s="23" t="str">
        <x:v>2 lignes de spawn</x:v>
      </x:c>
      <x:c r="R546" s="23" t="str">
        <x:v>La combinaison de sacs-poubelle et de déchets industriels a provoqué la réaction chimique qui a donné naissance à ce Pokémon.</x:v>
      </x:c>
      <x:c r="S546" s="23" t="str"/>
      <x:c r="T546" s="23" t="str">
        <x:v>https://pixelmonmod.com/wiki/Trubbish</x:v>
      </x:c>
    </x:row>
    <x:row r="547" ht="54" customHeight="1">
      <x:c r="A547" s="27" t="n">
        <x:v>569</x:v>
      </x:c>
      <x:c r="B547" s="23" t="str">
        <x:v>Miasmax</x:v>
      </x:c>
      <x:c r="C547" s="23" t="str">
        <x:v>Garbodor</x:v>
      </x:c>
      <x:c r="D547" s="23" t="str">
        <x:v>Poison</x:v>
      </x:c>
      <x:c r="E547" s="23" t="str"/>
      <x:c r="F547" s="23" t="str">
        <x:v>Ultra Rare</x:v>
      </x:c>
      <x:c r="G547" s="45" t="n">
        <x:v>75000</x:v>
      </x:c>
      <x:c r="H547" s="45" t="n">
        <x:f>IF(G547="","",ROUNDUP(G547*3,0))</x:f>
        <x:v>225000</x:v>
      </x:c>
      <x:c r="I547" s="41" t="n">
        <x:v>1</x:v>
      </x:c>
      <x:c r="J547" s="42" t="n">
        <x:v>80</x:v>
      </x:c>
      <x:c r="K547" s="42" t="n">
        <x:v>95</x:v>
      </x:c>
      <x:c r="L547" s="42" t="n">
        <x:v>82</x:v>
      </x:c>
      <x:c r="M547" s="42" t="n">
        <x:v>60</x:v>
      </x:c>
      <x:c r="N547" s="42" t="n">
        <x:v>82</x:v>
      </x:c>
      <x:c r="O547" s="42" t="n">
        <x:v>75</x:v>
      </x:c>
      <x:c r="P547" s="43" t="n">
        <x:f>IF(COUNT(J547:O547)=0,"",SUM(J547:O547))</x:f>
        <x:v>474</x:v>
      </x:c>
      <x:c r="Q547" s="23" t="str">
        <x:v>2 lignes de spawn</x:v>
      </x:c>
      <x:c r="R547" s="23" t="str">
        <x:v>Il attrape ses adversaires avec son bras gauche et les achève avec un gaz toxique nauséabond qu'il recrache par la bouche.</x:v>
      </x:c>
      <x:c r="S547" s="23" t="str"/>
      <x:c r="T547" s="23" t="str">
        <x:v>https://pixelmonmod.com/wiki/Garbodor</x:v>
      </x:c>
    </x:row>
    <x:row r="548" ht="54" customHeight="1">
      <x:c r="A548" s="27" t="n">
        <x:v>570</x:v>
      </x:c>
      <x:c r="B548" s="23" t="str">
        <x:v>Zorua</x:v>
      </x:c>
      <x:c r="C548" s="23" t="str">
        <x:v>Zorua</x:v>
      </x:c>
      <x:c r="D548" s="23" t="str">
        <x:v>Ténèbres</x:v>
      </x:c>
      <x:c r="E548" s="23" t="str"/>
      <x:c r="F548" s="23" t="str">
        <x:v>Ultra Rare</x:v>
      </x:c>
      <x:c r="G548" s="45" t="n">
        <x:v>75000</x:v>
      </x:c>
      <x:c r="H548" s="45" t="n">
        <x:f>IF(G548="","",ROUNDUP(G548*3,0))</x:f>
        <x:v>225000</x:v>
      </x:c>
      <x:c r="I548" s="41" t="n">
        <x:v>0.667</x:v>
      </x:c>
      <x:c r="J548" s="42" t="n">
        <x:v>40</x:v>
      </x:c>
      <x:c r="K548" s="42" t="n">
        <x:v>65</x:v>
      </x:c>
      <x:c r="L548" s="42" t="n">
        <x:v>40</x:v>
      </x:c>
      <x:c r="M548" s="42" t="n">
        <x:v>80</x:v>
      </x:c>
      <x:c r="N548" s="42" t="n">
        <x:v>40</x:v>
      </x:c>
      <x:c r="O548" s="42" t="n">
        <x:v>65</x:v>
      </x:c>
      <x:c r="P548" s="43" t="n">
        <x:f>IF(COUNT(J548:O548)=0,"",SUM(J548:O548))</x:f>
        <x:v>330</x:v>
      </x:c>
      <x:c r="Q548" s="23" t="str">
        <x:v>6 lignes de spawn</x:v>
      </x:c>
      <x:c r="R548" s="23" t="str">
        <x:v>Il change d'apparence pour ressembler à son adversaire, le trompe, puis profite de la diversion pour s'enfuir.</x:v>
      </x:c>
      <x:c r="S548" s="23" t="str"/>
      <x:c r="T548" s="23" t="str">
        <x:v>https://pixelmonmod.com/wiki/Zorua</x:v>
      </x:c>
    </x:row>
    <x:row r="549" ht="54" customHeight="1">
      <x:c r="A549" s="27" t="n">
        <x:v>571</x:v>
      </x:c>
      <x:c r="B549" s="23" t="str">
        <x:v>Zoroark</x:v>
      </x:c>
      <x:c r="C549" s="23" t="str">
        <x:v>Zoroark</x:v>
      </x:c>
      <x:c r="D549" s="23" t="str">
        <x:v>Ténèbres</x:v>
      </x:c>
      <x:c r="E549" s="23" t="str"/>
      <x:c r="F549" s="23" t="str">
        <x:v>Ultra Rare</x:v>
      </x:c>
      <x:c r="G549" s="45" t="n">
        <x:v>75000</x:v>
      </x:c>
      <x:c r="H549" s="45" t="n">
        <x:f>IF(G549="","",ROUNDUP(G549*3,0))</x:f>
        <x:v>225000</x:v>
      </x:c>
      <x:c r="I549" s="41" t="n">
        <x:v>1</x:v>
      </x:c>
      <x:c r="J549" s="42" t="n">
        <x:v>60</x:v>
      </x:c>
      <x:c r="K549" s="42" t="n">
        <x:v>105</x:v>
      </x:c>
      <x:c r="L549" s="42" t="n">
        <x:v>60</x:v>
      </x:c>
      <x:c r="M549" s="42" t="n">
        <x:v>120</x:v>
      </x:c>
      <x:c r="N549" s="42" t="n">
        <x:v>60</x:v>
      </x:c>
      <x:c r="O549" s="42" t="n">
        <x:v>105</x:v>
      </x:c>
      <x:c r="P549" s="43" t="n">
        <x:f>IF(COUNT(J549:O549)=0,"",SUM(J549:O549))</x:f>
        <x:v>510</x:v>
      </x:c>
      <x:c r="Q549" s="23" t="str">
        <x:v>6 lignes de spawn</x:v>
      </x:c>
      <x:c r="R549" s="23" t="str">
        <x:v>Il peut tromper simultanément un grand nombre de personnes. Il protège sa tanière grâce à des illusions de paysage.</x:v>
      </x:c>
      <x:c r="S549" s="23" t="str"/>
      <x:c r="T549" s="23" t="str">
        <x:v>https://pixelmonmod.com/wiki/Zoroark</x:v>
      </x:c>
    </x:row>
    <x:row r="550" ht="54" customHeight="1">
      <x:c r="A550" s="27" t="n">
        <x:v>572</x:v>
      </x:c>
      <x:c r="B550" s="23" t="str">
        <x:v>Chinchidou</x:v>
      </x:c>
      <x:c r="C550" s="23" t="str">
        <x:v>Minccino</x:v>
      </x:c>
      <x:c r="D550" s="23" t="str">
        <x:v>Normal</x:v>
      </x:c>
      <x:c r="E550" s="23" t="str"/>
      <x:c r="F550" s="23" t="str">
        <x:v>Uncommon</x:v>
      </x:c>
      <x:c r="G550" s="45" t="n">
        <x:v>5000</x:v>
      </x:c>
      <x:c r="H550" s="45" t="n">
        <x:f>IF(G550="","",ROUNDUP(G550*3,0))</x:f>
        <x:v>15000</x:v>
      </x:c>
      <x:c r="I550" s="41" t="n">
        <x:v>1</x:v>
      </x:c>
      <x:c r="J550" s="42" t="n">
        <x:v>55</x:v>
      </x:c>
      <x:c r="K550" s="42" t="n">
        <x:v>50</x:v>
      </x:c>
      <x:c r="L550" s="42" t="n">
        <x:v>40</x:v>
      </x:c>
      <x:c r="M550" s="42" t="n">
        <x:v>40</x:v>
      </x:c>
      <x:c r="N550" s="42" t="n">
        <x:v>40</x:v>
      </x:c>
      <x:c r="O550" s="42" t="n">
        <x:v>75</x:v>
      </x:c>
      <x:c r="P550" s="43" t="n">
        <x:f>IF(COUNT(J550:O550)=0,"",SUM(J550:O550))</x:f>
        <x:v>300</x:v>
      </x:c>
      <x:c r="Q550" s="23" t="str">
        <x:v>2 lignes de spawn</x:v>
      </x:c>
      <x:c r="R550" s="23" t="str">
        <x:v>Les Chinchidou se saluent en se toilettant mutuellement avec leur queue.</x:v>
      </x:c>
      <x:c r="S550" s="23" t="str"/>
      <x:c r="T550" s="23" t="str">
        <x:v>https://pixelmonmod.com/wiki/Minccino</x:v>
      </x:c>
    </x:row>
    <x:row r="551" ht="54" customHeight="1">
      <x:c r="A551" s="27" t="n">
        <x:v>573</x:v>
      </x:c>
      <x:c r="B551" s="23" t="str">
        <x:v>Pashmilla</x:v>
      </x:c>
      <x:c r="C551" s="23" t="str">
        <x:v>Cinccino</x:v>
      </x:c>
      <x:c r="D551" s="23" t="str">
        <x:v>Normal</x:v>
      </x:c>
      <x:c r="E551" s="23" t="str"/>
      <x:c r="F551" s="23" t="str">
        <x:v>Ultra Rare</x:v>
      </x:c>
      <x:c r="G551" s="45" t="n">
        <x:v>75000</x:v>
      </x:c>
      <x:c r="H551" s="45" t="n">
        <x:f>IF(G551="","",ROUNDUP(G551*3,0))</x:f>
        <x:v>225000</x:v>
      </x:c>
      <x:c r="I551" s="41" t="n">
        <x:v>1</x:v>
      </x:c>
      <x:c r="J551" s="42" t="n">
        <x:v>75</x:v>
      </x:c>
      <x:c r="K551" s="42" t="n">
        <x:v>95</x:v>
      </x:c>
      <x:c r="L551" s="42" t="n">
        <x:v>60</x:v>
      </x:c>
      <x:c r="M551" s="42" t="n">
        <x:v>65</x:v>
      </x:c>
      <x:c r="N551" s="42" t="n">
        <x:v>60</x:v>
      </x:c>
      <x:c r="O551" s="42" t="n">
        <x:v>115</x:v>
      </x:c>
      <x:c r="P551" s="43" t="n">
        <x:f>IF(COUNT(J551:O551)=0,"",SUM(J551:O551))</x:f>
        <x:v>470</x:v>
      </x:c>
      <x:c r="Q551" s="23" t="str">
        <x:v>2 lignes de spawn</x:v>
      </x:c>
      <x:c r="R551" s="23" t="str">
        <x:v>Leur fourrure blanche est d'un toucher exceptionnel. Elle repousse la poussière et empêche l'électricité statique de s'accumuler.</x:v>
      </x:c>
      <x:c r="S551" s="23" t="str"/>
      <x:c r="T551" s="23" t="str">
        <x:v>https://pixelmonmod.com/wiki/Cinccino</x:v>
      </x:c>
    </x:row>
    <x:row r="552" ht="54" customHeight="1">
      <x:c r="A552" s="27" t="n">
        <x:v>574</x:v>
      </x:c>
      <x:c r="B552" s="23" t="str">
        <x:v>Scrutella</x:v>
      </x:c>
      <x:c r="C552" s="23" t="str">
        <x:v>Gothita</x:v>
      </x:c>
      <x:c r="D552" s="23" t="str">
        <x:v>Psy</x:v>
      </x:c>
      <x:c r="E552" s="23" t="str"/>
      <x:c r="F552" s="23" t="str">
        <x:v>Uncommon</x:v>
      </x:c>
      <x:c r="G552" s="45" t="n">
        <x:v>5000</x:v>
      </x:c>
      <x:c r="H552" s="45" t="n">
        <x:f>IF(G552="","",ROUNDUP(G552*3,0))</x:f>
        <x:v>15000</x:v>
      </x:c>
      <x:c r="I552" s="41" t="n">
        <x:v>1</x:v>
      </x:c>
      <x:c r="J552" s="42" t="n">
        <x:v>45</x:v>
      </x:c>
      <x:c r="K552" s="42" t="n">
        <x:v>30</x:v>
      </x:c>
      <x:c r="L552" s="42" t="n">
        <x:v>50</x:v>
      </x:c>
      <x:c r="M552" s="42" t="n">
        <x:v>55</x:v>
      </x:c>
      <x:c r="N552" s="42" t="n">
        <x:v>65</x:v>
      </x:c>
      <x:c r="O552" s="42" t="n">
        <x:v>45</x:v>
      </x:c>
      <x:c r="P552" s="43" t="n">
        <x:f>IF(COUNT(J552:O552)=0,"",SUM(J552:O552))</x:f>
        <x:v>290</x:v>
      </x:c>
      <x:c r="Q552" s="23" t="str">
        <x:v>6 lignes de spawn</x:v>
      </x:c>
      <x:c r="R552" s="23" t="str">
        <x:v>Leurs appendices en forme de rubans augmentent leurs pouvoirs psychiques. Elles fixent toujours quelque chose du regard.</x:v>
      </x:c>
      <x:c r="S552" s="23" t="str"/>
      <x:c r="T552" s="23" t="str">
        <x:v>https://pixelmonmod.com/wiki/Gothita</x:v>
      </x:c>
    </x:row>
    <x:row r="553" ht="54" customHeight="1">
      <x:c r="A553" s="27" t="n">
        <x:v>575</x:v>
      </x:c>
      <x:c r="B553" s="23" t="str">
        <x:v>Mesmérella</x:v>
      </x:c>
      <x:c r="C553" s="23" t="str">
        <x:v>Gothorita</x:v>
      </x:c>
      <x:c r="D553" s="23" t="str">
        <x:v>Psy</x:v>
      </x:c>
      <x:c r="E553" s="23" t="str"/>
      <x:c r="F553" s="23" t="str">
        <x:v>Ultra Rare</x:v>
      </x:c>
      <x:c r="G553" s="45" t="n">
        <x:v>75000</x:v>
      </x:c>
      <x:c r="H553" s="45" t="n">
        <x:f>IF(G553="","",ROUNDUP(G553*3,0))</x:f>
        <x:v>225000</x:v>
      </x:c>
      <x:c r="I553" s="41" t="n">
        <x:v>0.833</x:v>
      </x:c>
      <x:c r="J553" s="42" t="n">
        <x:v>60</x:v>
      </x:c>
      <x:c r="K553" s="42" t="n">
        <x:v>45</x:v>
      </x:c>
      <x:c r="L553" s="42" t="n">
        <x:v>70</x:v>
      </x:c>
      <x:c r="M553" s="42" t="n">
        <x:v>75</x:v>
      </x:c>
      <x:c r="N553" s="42" t="n">
        <x:v>85</x:v>
      </x:c>
      <x:c r="O553" s="42" t="n">
        <x:v>55</x:v>
      </x:c>
      <x:c r="P553" s="43" t="n">
        <x:f>IF(COUNT(J553:O553)=0,"",SUM(J553:O553))</x:f>
        <x:v>390</x:v>
      </x:c>
      <x:c r="Q553" s="23" t="str">
        <x:v>6 lignes de spawn</x:v>
      </x:c>
      <x:c r="R553" s="23" t="str">
        <x:v>La lumière des étoiles est la source de leur pouvoir. La nuit, elles marquent la position des étoiles en utilisant leurs pouvoirs psychiques pour faire flotter des pierres.</x:v>
      </x:c>
      <x:c r="S553" s="23" t="str"/>
      <x:c r="T553" s="23" t="str">
        <x:v>https://pixelmonmod.com/wiki/Gothorita</x:v>
      </x:c>
    </x:row>
    <x:row r="554" ht="54" customHeight="1">
      <x:c r="A554" s="27" t="n">
        <x:v>576</x:v>
      </x:c>
      <x:c r="B554" s="23" t="str">
        <x:v>Sidérella</x:v>
      </x:c>
      <x:c r="C554" s="23" t="str">
        <x:v>Gothitelle</x:v>
      </x:c>
      <x:c r="D554" s="23" t="str">
        <x:v>Psy</x:v>
      </x:c>
      <x:c r="E554" s="23" t="str"/>
      <x:c r="F554" s="23" t="str">
        <x:v>Ultra Rare</x:v>
      </x:c>
      <x:c r="G554" s="45" t="n">
        <x:v>75000</x:v>
      </x:c>
      <x:c r="H554" s="45" t="n">
        <x:f>IF(G554="","",ROUNDUP(G554*3,0))</x:f>
        <x:v>225000</x:v>
      </x:c>
      <x:c r="I554" s="41" t="n">
        <x:v>1</x:v>
      </x:c>
      <x:c r="J554" s="42" t="n">
        <x:v>70</x:v>
      </x:c>
      <x:c r="K554" s="42" t="n">
        <x:v>55</x:v>
      </x:c>
      <x:c r="L554" s="42" t="n">
        <x:v>95</x:v>
      </x:c>
      <x:c r="M554" s="42" t="n">
        <x:v>95</x:v>
      </x:c>
      <x:c r="N554" s="42" t="n">
        <x:v>110</x:v>
      </x:c>
      <x:c r="O554" s="42" t="n">
        <x:v>65</x:v>
      </x:c>
      <x:c r="P554" s="43" t="n">
        <x:f>IF(COUNT(J554:O554)=0,"",SUM(J554:O554))</x:f>
        <x:v>490</x:v>
      </x:c>
      <x:c r="Q554" s="23" t="str">
        <x:v>6 lignes de spawn</x:v>
      </x:c>
      <x:c r="R554" s="23" t="str">
        <x:v>Des ciels étoilés situés à des milliers d'années-lumière sont visibles dans l'espace déformé par leur intense pouvoir psychique.</x:v>
      </x:c>
      <x:c r="S554" s="23" t="str"/>
      <x:c r="T554" s="23" t="str">
        <x:v>https://pixelmonmod.com/wiki/Gothitelle</x:v>
      </x:c>
    </x:row>
    <x:row r="555" ht="54" customHeight="1">
      <x:c r="A555" s="27" t="n">
        <x:v>577</x:v>
      </x:c>
      <x:c r="B555" s="23" t="str">
        <x:v>Nucléos</x:v>
      </x:c>
      <x:c r="C555" s="23" t="str">
        <x:v>Solosis</x:v>
      </x:c>
      <x:c r="D555" s="23" t="str">
        <x:v>Psy</x:v>
      </x:c>
      <x:c r="E555" s="23" t="str"/>
      <x:c r="F555" s="23" t="str">
        <x:v>Uncommon</x:v>
      </x:c>
      <x:c r="G555" s="45" t="n">
        <x:v>5000</x:v>
      </x:c>
      <x:c r="H555" s="45" t="n">
        <x:f>IF(G555="","",ROUNDUP(G555*3,0))</x:f>
        <x:v>15000</x:v>
      </x:c>
      <x:c r="I555" s="41" t="n">
        <x:v>1</x:v>
      </x:c>
      <x:c r="J555" s="42" t="n">
        <x:v>45</x:v>
      </x:c>
      <x:c r="K555" s="42" t="n">
        <x:v>30</x:v>
      </x:c>
      <x:c r="L555" s="42" t="n">
        <x:v>40</x:v>
      </x:c>
      <x:c r="M555" s="42" t="n">
        <x:v>105</x:v>
      </x:c>
      <x:c r="N555" s="42" t="n">
        <x:v>50</x:v>
      </x:c>
      <x:c r="O555" s="42" t="n">
        <x:v>20</x:v>
      </x:c>
      <x:c r="P555" s="43" t="n">
        <x:f>IF(COUNT(J555:O555)=0,"",SUM(J555:O555))</x:f>
        <x:v>290</x:v>
      </x:c>
      <x:c r="Q555" s="23" t="str">
        <x:v>1 lignes de spawn</x:v>
      </x:c>
      <x:c r="R555" s="23" t="str">
        <x:v>Le liquide spécial qui enveloppe leur corps leur permet de vivre dans n'importe quel environnement, même les plus hostiles.</x:v>
      </x:c>
      <x:c r="S555" s="23" t="str"/>
      <x:c r="T555" s="23" t="str">
        <x:v>https://pixelmonmod.com/wiki/Solosis</x:v>
      </x:c>
    </x:row>
    <x:row r="556" ht="54" customHeight="1">
      <x:c r="A556" s="27" t="n">
        <x:v>578</x:v>
      </x:c>
      <x:c r="B556" s="23" t="str">
        <x:v>Méios</x:v>
      </x:c>
      <x:c r="C556" s="23" t="str">
        <x:v>Duosion</x:v>
      </x:c>
      <x:c r="D556" s="23" t="str">
        <x:v>Psy</x:v>
      </x:c>
      <x:c r="E556" s="23" t="str"/>
      <x:c r="F556" s="23" t="str">
        <x:v>Ultra Rare</x:v>
      </x:c>
      <x:c r="G556" s="45" t="n">
        <x:v>75000</x:v>
      </x:c>
      <x:c r="H556" s="45" t="n">
        <x:f>IF(G556="","",ROUNDUP(G556*3,0))</x:f>
        <x:v>225000</x:v>
      </x:c>
      <x:c r="I556" s="41" t="n">
        <x:v>1</x:v>
      </x:c>
      <x:c r="J556" s="42" t="n">
        <x:v>65</x:v>
      </x:c>
      <x:c r="K556" s="42" t="n">
        <x:v>40</x:v>
      </x:c>
      <x:c r="L556" s="42" t="n">
        <x:v>50</x:v>
      </x:c>
      <x:c r="M556" s="42" t="n">
        <x:v>125</x:v>
      </x:c>
      <x:c r="N556" s="42" t="n">
        <x:v>60</x:v>
      </x:c>
      <x:c r="O556" s="42" t="n">
        <x:v>30</x:v>
      </x:c>
      <x:c r="P556" s="43" t="n">
        <x:f>IF(COUNT(J556:O556)=0,"",SUM(J556:O556))</x:f>
        <x:v>370</x:v>
      </x:c>
      <x:c r="Q556" s="23" t="str">
        <x:v>1 lignes de spawn</x:v>
      </x:c>
      <x:c r="R556" s="23" t="str">
        <x:v>Comme son cerveau est divisé en deux, il lui arrive de vouloir soudain accomplir deux actions différentes en même temps.</x:v>
      </x:c>
      <x:c r="S556" s="23" t="str"/>
      <x:c r="T556" s="23" t="str">
        <x:v>https://pixelmonmod.com/wiki/Duosion</x:v>
      </x:c>
    </x:row>
    <x:row r="557" ht="54" customHeight="1">
      <x:c r="A557" s="27" t="n">
        <x:v>579</x:v>
      </x:c>
      <x:c r="B557" s="23" t="str">
        <x:v>Symbios</x:v>
      </x:c>
      <x:c r="C557" s="23" t="str">
        <x:v>Reuniclus</x:v>
      </x:c>
      <x:c r="D557" s="23" t="str">
        <x:v>Psy</x:v>
      </x:c>
      <x:c r="E557" s="23" t="str"/>
      <x:c r="F557" s="23" t="str">
        <x:v>Ultra Rare</x:v>
      </x:c>
      <x:c r="G557" s="45" t="n">
        <x:v>75000</x:v>
      </x:c>
      <x:c r="H557" s="45" t="n">
        <x:f>IF(G557="","",ROUNDUP(G557*3,0))</x:f>
        <x:v>225000</x:v>
      </x:c>
      <x:c r="I557" s="41" t="n">
        <x:v>1</x:v>
      </x:c>
      <x:c r="J557" s="42" t="n">
        <x:v>110</x:v>
      </x:c>
      <x:c r="K557" s="42" t="n">
        <x:v>65</x:v>
      </x:c>
      <x:c r="L557" s="42" t="n">
        <x:v>75</x:v>
      </x:c>
      <x:c r="M557" s="42" t="n">
        <x:v>125</x:v>
      </x:c>
      <x:c r="N557" s="42" t="n">
        <x:v>85</x:v>
      </x:c>
      <x:c r="O557" s="42" t="n">
        <x:v>30</x:v>
      </x:c>
      <x:c r="P557" s="43" t="n">
        <x:f>IF(COUNT(J557:O557)=0,"",SUM(J557:O557))</x:f>
        <x:v>490</x:v>
      </x:c>
      <x:c r="Q557" s="23" t="str">
        <x:v>1 lignes de spawn</x:v>
      </x:c>
      <x:c r="R557" s="23" t="str">
        <x:v>Ils utilisent leurs pouvoirs psychiques pour contrôler leurs bras faits d'un liquide spécial. Ils peuvent broyer des rochers par télékinésie.</x:v>
      </x:c>
      <x:c r="S557" s="23" t="str"/>
      <x:c r="T557" s="23" t="str">
        <x:v>https://pixelmonmod.com/wiki/Reuniclus</x:v>
      </x:c>
    </x:row>
    <x:row r="558" ht="54" customHeight="1">
      <x:c r="A558" s="27" t="n">
        <x:v>580</x:v>
      </x:c>
      <x:c r="B558" s="23" t="str">
        <x:v>Couaneton</x:v>
      </x:c>
      <x:c r="C558" s="23" t="str">
        <x:v>Ducklett</x:v>
      </x:c>
      <x:c r="D558" s="23" t="str">
        <x:v>Eau</x:v>
      </x:c>
      <x:c r="E558" s="23" t="str">
        <x:v>Vol</x:v>
      </x:c>
      <x:c r="F558" s="23" t="str">
        <x:v>Uncommon</x:v>
      </x:c>
      <x:c r="G558" s="45" t="n">
        <x:v>5000</x:v>
      </x:c>
      <x:c r="H558" s="45" t="n">
        <x:f>IF(G558="","",ROUNDUP(G558*3,0))</x:f>
        <x:v>15000</x:v>
      </x:c>
      <x:c r="I558" s="41" t="n">
        <x:v>1</x:v>
      </x:c>
      <x:c r="J558" s="42" t="n">
        <x:v>62</x:v>
      </x:c>
      <x:c r="K558" s="42" t="n">
        <x:v>44</x:v>
      </x:c>
      <x:c r="L558" s="42" t="n">
        <x:v>50</x:v>
      </x:c>
      <x:c r="M558" s="42" t="n">
        <x:v>44</x:v>
      </x:c>
      <x:c r="N558" s="42" t="n">
        <x:v>50</x:v>
      </x:c>
      <x:c r="O558" s="42" t="n">
        <x:v>55</x:v>
      </x:c>
      <x:c r="P558" s="43" t="n">
        <x:f>IF(COUNT(J558:O558)=0,"",SUM(J558:O558))</x:f>
        <x:v>305</x:v>
      </x:c>
      <x:c r="Q558" s="23" t="str">
        <x:v>3 lignes de spawn</x:v>
      </x:c>
      <x:c r="R558" s="23" t="str">
        <x:v>Lorsqu'il est attaqué, il utilise ses plumes pour projeter de l'eau et s'enfuir sous couvert de l'aspersion.</x:v>
      </x:c>
      <x:c r="S558" s="23" t="str"/>
      <x:c r="T558" s="23" t="str">
        <x:v>https://pixelmonmod.com/wiki/Ducklett</x:v>
      </x:c>
    </x:row>
    <x:row r="559" ht="54" customHeight="1">
      <x:c r="A559" s="27" t="n">
        <x:v>581</x:v>
      </x:c>
      <x:c r="B559" s="23" t="str">
        <x:v>Lakmécygne</x:v>
      </x:c>
      <x:c r="C559" s="23" t="str">
        <x:v>Swanna</x:v>
      </x:c>
      <x:c r="D559" s="23" t="str">
        <x:v>Eau</x:v>
      </x:c>
      <x:c r="E559" s="23" t="str">
        <x:v>Vol</x:v>
      </x:c>
      <x:c r="F559" s="23" t="str">
        <x:v>Ultra Rare</x:v>
      </x:c>
      <x:c r="G559" s="45" t="n">
        <x:v>75000</x:v>
      </x:c>
      <x:c r="H559" s="45" t="n">
        <x:f>IF(G559="","",ROUNDUP(G559*3,0))</x:f>
        <x:v>225000</x:v>
      </x:c>
      <x:c r="I559" s="41" t="n">
        <x:v>1</x:v>
      </x:c>
      <x:c r="J559" s="42" t="n">
        <x:v>75</x:v>
      </x:c>
      <x:c r="K559" s="42" t="n">
        <x:v>87</x:v>
      </x:c>
      <x:c r="L559" s="42" t="n">
        <x:v>63</x:v>
      </x:c>
      <x:c r="M559" s="42" t="n">
        <x:v>87</x:v>
      </x:c>
      <x:c r="N559" s="42" t="n">
        <x:v>63</x:v>
      </x:c>
      <x:c r="O559" s="42" t="n">
        <x:v>98</x:v>
      </x:c>
      <x:c r="P559" s="43" t="n">
        <x:f>IF(COUNT(J559:O559)=0,"",SUM(J559:O559))</x:f>
        <x:v>473</x:v>
      </x:c>
      <x:c r="Q559" s="23" t="str">
        <x:v>3 lignes de spawn</x:v>
      </x:c>
      <x:c r="R559" s="23" t="str">
        <x:v>Malgré leur apparence élégante, ils peuvent battre des ailes avec force et voler sur des milliers de kilomètres.</x:v>
      </x:c>
      <x:c r="S559" s="23" t="str"/>
      <x:c r="T559" s="23" t="str">
        <x:v>https://pixelmonmod.com/wiki/Swanna</x:v>
      </x:c>
    </x:row>
    <x:row r="560" ht="54" customHeight="1">
      <x:c r="A560" s="27" t="n">
        <x:v>582</x:v>
      </x:c>
      <x:c r="B560" s="23" t="str">
        <x:v>Sorbébé</x:v>
      </x:c>
      <x:c r="C560" s="23" t="str">
        <x:v>Vanillite</x:v>
      </x:c>
      <x:c r="D560" s="23" t="str">
        <x:v>Glace</x:v>
      </x:c>
      <x:c r="E560" s="23" t="str"/>
      <x:c r="F560" s="23" t="str">
        <x:v>Common / Uncommon</x:v>
      </x:c>
      <x:c r="G560" s="45" t="n">
        <x:v>5000</x:v>
      </x:c>
      <x:c r="H560" s="45" t="n">
        <x:f>IF(G560="","",ROUNDUP(G560*3,0))</x:f>
        <x:v>15000</x:v>
      </x:c>
      <x:c r="I560" s="41" t="n">
        <x:v>0.5</x:v>
      </x:c>
      <x:c r="J560" s="42" t="n">
        <x:v>36</x:v>
      </x:c>
      <x:c r="K560" s="42" t="n">
        <x:v>50</x:v>
      </x:c>
      <x:c r="L560" s="42" t="n">
        <x:v>50</x:v>
      </x:c>
      <x:c r="M560" s="42" t="n">
        <x:v>65</x:v>
      </x:c>
      <x:c r="N560" s="42" t="n">
        <x:v>60</x:v>
      </x:c>
      <x:c r="O560" s="42" t="n">
        <x:v>44</x:v>
      </x:c>
      <x:c r="P560" s="43" t="n">
        <x:f>IF(COUNT(J560:O560)=0,"",SUM(J560:O560))</x:f>
        <x:v>305</x:v>
      </x:c>
      <x:c r="Q560" s="23" t="str">
        <x:v>2 lignes de spawn</x:v>
      </x:c>
      <x:c r="R560" s="23" t="str">
        <x:v>La température de leur souffle atteint -50 °C. Ils créent des cristaux de neige et provoquent des chutes de neige autour d'eux.</x:v>
      </x:c>
      <x:c r="S560" s="23" t="str">
        <x:v>Égalité de fréquence; prix provisoire basé sur le palier le plus élevé.</x:v>
      </x:c>
      <x:c r="T560" s="23" t="str">
        <x:v>https://pixelmonmod.com/wiki/Vanillite</x:v>
      </x:c>
    </x:row>
    <x:row r="561" ht="54" customHeight="1">
      <x:c r="A561" s="27" t="n">
        <x:v>583</x:v>
      </x:c>
      <x:c r="B561" s="23" t="str">
        <x:v>Sorboul</x:v>
      </x:c>
      <x:c r="C561" s="23" t="str">
        <x:v>Vanillish</x:v>
      </x:c>
      <x:c r="D561" s="23" t="str">
        <x:v>Glace</x:v>
      </x:c>
      <x:c r="E561" s="23" t="str"/>
      <x:c r="F561" s="23" t="str">
        <x:v>Rare / Ultra Rare</x:v>
      </x:c>
      <x:c r="G561" s="45" t="n">
        <x:v>75000</x:v>
      </x:c>
      <x:c r="H561" s="45" t="n">
        <x:f>IF(G561="","",ROUNDUP(G561*3,0))</x:f>
        <x:v>225000</x:v>
      </x:c>
      <x:c r="I561" s="41" t="n">
        <x:v>0.5</x:v>
      </x:c>
      <x:c r="J561" s="42" t="n">
        <x:v>51</x:v>
      </x:c>
      <x:c r="K561" s="42" t="n">
        <x:v>65</x:v>
      </x:c>
      <x:c r="L561" s="42" t="n">
        <x:v>65</x:v>
      </x:c>
      <x:c r="M561" s="42" t="n">
        <x:v>80</x:v>
      </x:c>
      <x:c r="N561" s="42" t="n">
        <x:v>75</x:v>
      </x:c>
      <x:c r="O561" s="42" t="n">
        <x:v>59</x:v>
      </x:c>
      <x:c r="P561" s="43" t="n">
        <x:f>IF(COUNT(J561:O561)=0,"",SUM(J561:O561))</x:f>
        <x:v>395</x:v>
      </x:c>
      <x:c r="Q561" s="23" t="str">
        <x:v>2 lignes de spawn</x:v>
      </x:c>
      <x:c r="R561" s="23" t="str">
        <x:v>Ils refroidissent l'air qui les entoure et créent des particules de glace dont ils se servent pour geler leurs ennemis.</x:v>
      </x:c>
      <x:c r="S561" s="23" t="str">
        <x:v>Égalité de fréquence; prix provisoire basé sur le palier le plus élevé.</x:v>
      </x:c>
      <x:c r="T561" s="23" t="str">
        <x:v>https://pixelmonmod.com/wiki/Vanillish</x:v>
      </x:c>
    </x:row>
    <x:row r="562" ht="54" customHeight="1">
      <x:c r="A562" s="27" t="n">
        <x:v>584</x:v>
      </x:c>
      <x:c r="B562" s="23" t="str">
        <x:v>Sorbouboul</x:v>
      </x:c>
      <x:c r="C562" s="23" t="str">
        <x:v>Vanilluxe</x:v>
      </x:c>
      <x:c r="D562" s="23" t="str">
        <x:v>Glace</x:v>
      </x:c>
      <x:c r="E562" s="23" t="str"/>
      <x:c r="F562" s="23" t="str">
        <x:v>Ultra Rare</x:v>
      </x:c>
      <x:c r="G562" s="45" t="n">
        <x:v>75000</x:v>
      </x:c>
      <x:c r="H562" s="45" t="n">
        <x:f>IF(G562="","",ROUNDUP(G562*3,0))</x:f>
        <x:v>225000</x:v>
      </x:c>
      <x:c r="I562" s="41" t="n">
        <x:v>1</x:v>
      </x:c>
      <x:c r="J562" s="42" t="n">
        <x:v>71</x:v>
      </x:c>
      <x:c r="K562" s="42" t="n">
        <x:v>95</x:v>
      </x:c>
      <x:c r="L562" s="42" t="n">
        <x:v>85</x:v>
      </x:c>
      <x:c r="M562" s="42" t="n">
        <x:v>110</x:v>
      </x:c>
      <x:c r="N562" s="42" t="n">
        <x:v>95</x:v>
      </x:c>
      <x:c r="O562" s="42" t="n">
        <x:v>79</x:v>
      </x:c>
      <x:c r="P562" s="43" t="n">
        <x:f>IF(COUNT(J562:O562)=0,"",SUM(J562:O562))</x:f>
        <x:v>535</x:v>
      </x:c>
      <x:c r="Q562" s="23" t="str">
        <x:v>2 lignes de spawn</x:v>
      </x:c>
      <x:c r="R562" s="23" t="str">
        <x:v>Si ses deux têtes s'énervent en même temps, ce Pokémon déclenche un blizzard qui ensevelit tout sous la neige.</x:v>
      </x:c>
      <x:c r="S562" s="23" t="str"/>
      <x:c r="T562" s="23" t="str">
        <x:v>https://pixelmonmod.com/wiki/Vanilluxe</x:v>
      </x:c>
    </x:row>
    <x:row r="563" ht="54" customHeight="1">
      <x:c r="A563" s="27" t="n">
        <x:v>585</x:v>
      </x:c>
      <x:c r="B563" s="23" t="str">
        <x:v>Vivaldaim</x:v>
      </x:c>
      <x:c r="C563" s="23" t="str">
        <x:v>Deerling</x:v>
      </x:c>
      <x:c r="D563" s="23" t="str">
        <x:v>Normal</x:v>
      </x:c>
      <x:c r="E563" s="23" t="str">
        <x:v>Plante</x:v>
      </x:c>
      <x:c r="F563" s="23" t="str">
        <x:v>Uncommon</x:v>
      </x:c>
      <x:c r="G563" s="45" t="n">
        <x:v>5000</x:v>
      </x:c>
      <x:c r="H563" s="45" t="n">
        <x:f>IF(G563="","",ROUNDUP(G563*3,0))</x:f>
        <x:v>15000</x:v>
      </x:c>
      <x:c r="I563" s="41" t="n">
        <x:v>1</x:v>
      </x:c>
      <x:c r="J563" s="42" t="n">
        <x:v>60</x:v>
      </x:c>
      <x:c r="K563" s="42" t="n">
        <x:v>60</x:v>
      </x:c>
      <x:c r="L563" s="42" t="n">
        <x:v>50</x:v>
      </x:c>
      <x:c r="M563" s="42" t="n">
        <x:v>40</x:v>
      </x:c>
      <x:c r="N563" s="42" t="n">
        <x:v>50</x:v>
      </x:c>
      <x:c r="O563" s="42" t="n">
        <x:v>75</x:v>
      </x:c>
      <x:c r="P563" s="43" t="n">
        <x:f>IF(COUNT(J563:O563)=0,"",SUM(J563:O563))</x:f>
        <x:v>335</x:v>
      </x:c>
      <x:c r="Q563" s="23" t="str">
        <x:v>8 lignes de spawn</x:v>
      </x:c>
      <x:c r="R563" s="23" t="str">
        <x:v>Leur couleur change selon les saisons et peut aussi varier légèrement en fonction de la température et de l'humidité.</x:v>
      </x:c>
      <x:c r="S563" s="23" t="str"/>
      <x:c r="T563" s="23" t="str">
        <x:v>https://pixelmonmod.com/wiki/Deerling</x:v>
      </x:c>
    </x:row>
    <x:row r="564" ht="54" customHeight="1">
      <x:c r="A564" s="27" t="n">
        <x:v>586</x:v>
      </x:c>
      <x:c r="B564" s="23" t="str">
        <x:v>Haydaim</x:v>
      </x:c>
      <x:c r="C564" s="23" t="str">
        <x:v>Sawsbuck</x:v>
      </x:c>
      <x:c r="D564" s="23" t="str">
        <x:v>Normal</x:v>
      </x:c>
      <x:c r="E564" s="23" t="str">
        <x:v>Plante</x:v>
      </x:c>
      <x:c r="F564" s="23" t="str">
        <x:v>Ultra Rare</x:v>
      </x:c>
      <x:c r="G564" s="45" t="n">
        <x:v>75000</x:v>
      </x:c>
      <x:c r="H564" s="45" t="n">
        <x:f>IF(G564="","",ROUNDUP(G564*3,0))</x:f>
        <x:v>225000</x:v>
      </x:c>
      <x:c r="I564" s="41" t="n">
        <x:v>1</x:v>
      </x:c>
      <x:c r="J564" s="42" t="n">
        <x:v>80</x:v>
      </x:c>
      <x:c r="K564" s="42" t="n">
        <x:v>100</x:v>
      </x:c>
      <x:c r="L564" s="42" t="n">
        <x:v>70</x:v>
      </x:c>
      <x:c r="M564" s="42" t="n">
        <x:v>60</x:v>
      </x:c>
      <x:c r="N564" s="42" t="n">
        <x:v>70</x:v>
      </x:c>
      <x:c r="O564" s="42" t="n">
        <x:v>95</x:v>
      </x:c>
      <x:c r="P564" s="43" t="n">
        <x:f>IF(COUNT(J564:O564)=0,"",SUM(J564:O564))</x:f>
        <x:v>475</x:v>
      </x:c>
      <x:c r="Q564" s="23" t="str">
        <x:v>8 lignes de spawn</x:v>
      </x:c>
      <x:c r="R564" s="23" t="str">
        <x:v>Ils migrent au rythme des saisons. On peut déterminer la saison simplement en observant les bois de Haydaim.</x:v>
      </x:c>
      <x:c r="S564" s="23" t="str"/>
      <x:c r="T564" s="23" t="str">
        <x:v>https://pixelmonmod.com/wiki/Sawsbuck</x:v>
      </x:c>
    </x:row>
    <x:row r="565" ht="54" customHeight="1">
      <x:c r="A565" s="27" t="n">
        <x:v>587</x:v>
      </x:c>
      <x:c r="B565" s="23" t="str">
        <x:v>Emolga</x:v>
      </x:c>
      <x:c r="C565" s="23" t="str">
        <x:v>Emolga</x:v>
      </x:c>
      <x:c r="D565" s="23" t="str">
        <x:v>Électrik</x:v>
      </x:c>
      <x:c r="E565" s="23" t="str">
        <x:v>Vol</x:v>
      </x:c>
      <x:c r="F565" s="23" t="str">
        <x:v>Rare</x:v>
      </x:c>
      <x:c r="G565" s="45" t="n">
        <x:v>12000</x:v>
      </x:c>
      <x:c r="H565" s="45" t="n">
        <x:f>IF(G565="","",ROUNDUP(G565*3,0))</x:f>
        <x:v>36000</x:v>
      </x:c>
      <x:c r="I565" s="41" t="n">
        <x:v>1</x:v>
      </x:c>
      <x:c r="J565" s="42" t="n">
        <x:v>55</x:v>
      </x:c>
      <x:c r="K565" s="42" t="n">
        <x:v>75</x:v>
      </x:c>
      <x:c r="L565" s="42" t="n">
        <x:v>60</x:v>
      </x:c>
      <x:c r="M565" s="42" t="n">
        <x:v>75</x:v>
      </x:c>
      <x:c r="N565" s="42" t="n">
        <x:v>60</x:v>
      </x:c>
      <x:c r="O565" s="42" t="n">
        <x:v>103</x:v>
      </x:c>
      <x:c r="P565" s="43" t="n">
        <x:f>IF(COUNT(J565:O565)=0,"",SUM(J565:O565))</x:f>
        <x:v>428</x:v>
      </x:c>
      <x:c r="Q565" s="23" t="str">
        <x:v>1 lignes de spawn</x:v>
      </x:c>
      <x:c r="R565" s="23" t="str">
        <x:v>Ils vivent au sommet des arbres et planent grâce à une membrane ressemblant à une cape tout en libérant des décharges électriques.</x:v>
      </x:c>
      <x:c r="S565" s="23" t="str"/>
      <x:c r="T565" s="23" t="str">
        <x:v>https://pixelmonmod.com/wiki/Emolga</x:v>
      </x:c>
    </x:row>
    <x:row r="566" ht="54" customHeight="1">
      <x:c r="A566" s="27" t="n">
        <x:v>588</x:v>
      </x:c>
      <x:c r="B566" s="23" t="str">
        <x:v>Carabing</x:v>
      </x:c>
      <x:c r="C566" s="23" t="str">
        <x:v>Karrablast</x:v>
      </x:c>
      <x:c r="D566" s="23" t="str">
        <x:v>Insecte</x:v>
      </x:c>
      <x:c r="E566" s="23" t="str"/>
      <x:c r="F566" s="23" t="str">
        <x:v>Uncommon</x:v>
      </x:c>
      <x:c r="G566" s="45" t="n">
        <x:v>5000</x:v>
      </x:c>
      <x:c r="H566" s="45" t="n">
        <x:f>IF(G566="","",ROUNDUP(G566*3,0))</x:f>
        <x:v>15000</x:v>
      </x:c>
      <x:c r="I566" s="41" t="n">
        <x:v>1</x:v>
      </x:c>
      <x:c r="J566" s="42" t="n">
        <x:v>50</x:v>
      </x:c>
      <x:c r="K566" s="42" t="n">
        <x:v>75</x:v>
      </x:c>
      <x:c r="L566" s="42" t="n">
        <x:v>45</x:v>
      </x:c>
      <x:c r="M566" s="42" t="n">
        <x:v>40</x:v>
      </x:c>
      <x:c r="N566" s="42" t="n">
        <x:v>45</x:v>
      </x:c>
      <x:c r="O566" s="42" t="n">
        <x:v>60</x:v>
      </x:c>
      <x:c r="P566" s="43" t="n">
        <x:f>IF(COUNT(J566:O566)=0,"",SUM(J566:O566))</x:f>
        <x:v>315</x:v>
      </x:c>
      <x:c r="Q566" s="23" t="str">
        <x:v>2 lignes de spawn</x:v>
      </x:c>
      <x:c r="R566" s="23" t="str">
        <x:v>Ces mystérieux Pokémon évoluent lorsqu'ils reçoivent une stimulation électrique en présence d'Escargaume.</x:v>
      </x:c>
      <x:c r="S566" s="23" t="str"/>
      <x:c r="T566" s="23" t="str">
        <x:v>https://pixelmonmod.com/wiki/Karrablast</x:v>
      </x:c>
    </x:row>
    <x:row r="567" ht="54" customHeight="1">
      <x:c r="A567" s="27" t="n">
        <x:v>589</x:v>
      </x:c>
      <x:c r="B567" s="23" t="str">
        <x:v>Lançargot</x:v>
      </x:c>
      <x:c r="C567" s="23" t="str">
        <x:v>Escavalier</x:v>
      </x:c>
      <x:c r="D567" s="23" t="str">
        <x:v>Insecte</x:v>
      </x:c>
      <x:c r="E567" s="23" t="str">
        <x:v>Acier</x:v>
      </x:c>
      <x:c r="F567" s="23" t="str">
        <x:v>Non classé</x:v>
      </x:c>
      <x:c r="G567" s="45"/>
      <x:c r="H567" s="45" t="str">
        <x:f>IF(G567="","",ROUNDUP(G567*3,0))</x:f>
      </x:c>
      <x:c r="I567" s="41"/>
      <x:c r="J567" s="42" t="n">
        <x:v>70</x:v>
      </x:c>
      <x:c r="K567" s="42" t="n">
        <x:v>135</x:v>
      </x:c>
      <x:c r="L567" s="42" t="n">
        <x:v>105</x:v>
      </x:c>
      <x:c r="M567" s="42" t="n">
        <x:v>60</x:v>
      </x:c>
      <x:c r="N567" s="42" t="n">
        <x:v>105</x:v>
      </x:c>
      <x:c r="O567" s="42" t="n">
        <x:v>20</x:v>
      </x:c>
      <x:c r="P567" s="43" t="n">
        <x:f>IF(COUNT(J567:O567)=0,"",SUM(J567:O567))</x:f>
        <x:v>495</x:v>
      </x:c>
      <x:c r="Q567" s="23" t="str">
        <x:v>Aucune ligne classée</x:v>
      </x:c>
      <x:c r="R567" s="23" t="str">
        <x:v>Vêtus de la coquille volée à Carabing, ils se défendent et attaquent en brandissant deux lances.</x:v>
      </x:c>
      <x:c r="S567" s="23" t="str">
        <x:v>Aucune rareté wiki exploitable; prix à fixer.</x:v>
      </x:c>
      <x:c r="T567" s="23" t="str">
        <x:v>https://pixelmonmod.com/wiki/Escavalier</x:v>
      </x:c>
    </x:row>
    <x:row r="568" ht="54" customHeight="1">
      <x:c r="A568" s="27" t="n">
        <x:v>590</x:v>
      </x:c>
      <x:c r="B568" s="23" t="str">
        <x:v>Trompignon</x:v>
      </x:c>
      <x:c r="C568" s="23" t="str">
        <x:v>Foongus</x:v>
      </x:c>
      <x:c r="D568" s="23" t="str">
        <x:v>Plante</x:v>
      </x:c>
      <x:c r="E568" s="23" t="str">
        <x:v>Poison</x:v>
      </x:c>
      <x:c r="F568" s="23" t="str">
        <x:v>Uncommon</x:v>
      </x:c>
      <x:c r="G568" s="45" t="n">
        <x:v>5000</x:v>
      </x:c>
      <x:c r="H568" s="45" t="n">
        <x:f>IF(G568="","",ROUNDUP(G568*3,0))</x:f>
        <x:v>15000</x:v>
      </x:c>
      <x:c r="I568" s="41" t="n">
        <x:v>1</x:v>
      </x:c>
      <x:c r="J568" s="42" t="n">
        <x:v>69</x:v>
      </x:c>
      <x:c r="K568" s="42" t="n">
        <x:v>55</x:v>
      </x:c>
      <x:c r="L568" s="42" t="n">
        <x:v>45</x:v>
      </x:c>
      <x:c r="M568" s="42" t="n">
        <x:v>55</x:v>
      </x:c>
      <x:c r="N568" s="42" t="n">
        <x:v>55</x:v>
      </x:c>
      <x:c r="O568" s="42" t="n">
        <x:v>15</x:v>
      </x:c>
      <x:c r="P568" s="43" t="n">
        <x:f>IF(COUNT(J568:O568)=0,"",SUM(J568:O568))</x:f>
        <x:v>294</x:v>
      </x:c>
      <x:c r="Q568" s="23" t="str">
        <x:v>4 lignes de spawn</x:v>
      </x:c>
      <x:c r="R568" s="23" t="str">
        <x:v>Il attire les gens avec son motif en Poké Ball, puis libère des spores toxiques. On ignore pourquoi il ressemble à une Poké Ball.</x:v>
      </x:c>
      <x:c r="S568" s="23" t="str"/>
      <x:c r="T568" s="23" t="str">
        <x:v>https://pixelmonmod.com/wiki/Foongus</x:v>
      </x:c>
    </x:row>
    <x:row r="569" ht="54" customHeight="1">
      <x:c r="A569" s="27" t="n">
        <x:v>591</x:v>
      </x:c>
      <x:c r="B569" s="23" t="str">
        <x:v>Gaulet</x:v>
      </x:c>
      <x:c r="C569" s="23" t="str">
        <x:v>Amoonguss</x:v>
      </x:c>
      <x:c r="D569" s="23" t="str">
        <x:v>Plante</x:v>
      </x:c>
      <x:c r="E569" s="23" t="str">
        <x:v>Poison</x:v>
      </x:c>
      <x:c r="F569" s="23" t="str">
        <x:v>Ultra Rare</x:v>
      </x:c>
      <x:c r="G569" s="45" t="n">
        <x:v>75000</x:v>
      </x:c>
      <x:c r="H569" s="45" t="n">
        <x:f>IF(G569="","",ROUNDUP(G569*3,0))</x:f>
        <x:v>225000</x:v>
      </x:c>
      <x:c r="I569" s="41" t="n">
        <x:v>1</x:v>
      </x:c>
      <x:c r="J569" s="42" t="n">
        <x:v>114</x:v>
      </x:c>
      <x:c r="K569" s="42" t="n">
        <x:v>85</x:v>
      </x:c>
      <x:c r="L569" s="42" t="n">
        <x:v>70</x:v>
      </x:c>
      <x:c r="M569" s="42" t="n">
        <x:v>85</x:v>
      </x:c>
      <x:c r="N569" s="42" t="n">
        <x:v>80</x:v>
      </x:c>
      <x:c r="O569" s="42" t="n">
        <x:v>30</x:v>
      </x:c>
      <x:c r="P569" s="43" t="n">
        <x:f>IF(COUNT(J569:O569)=0,"",SUM(J569:O569))</x:f>
        <x:v>464</x:v>
      </x:c>
      <x:c r="Q569" s="23" t="str">
        <x:v>4 lignes de spawn</x:v>
      </x:c>
      <x:c r="R569" s="23" t="str">
        <x:v>Ils exhibent leurs chapeaux en forme de Poké Ball pour attirer leurs proies, mais très peu de Pokémon s'y laissent prendre.</x:v>
      </x:c>
      <x:c r="S569" s="23" t="str"/>
      <x:c r="T569" s="23" t="str">
        <x:v>https://pixelmonmod.com/wiki/Amoonguss</x:v>
      </x:c>
    </x:row>
    <x:row r="570" ht="54" customHeight="1">
      <x:c r="A570" s="27" t="n">
        <x:v>592</x:v>
      </x:c>
      <x:c r="B570" s="23" t="str">
        <x:v>Viskuse</x:v>
      </x:c>
      <x:c r="C570" s="23" t="str">
        <x:v>Frillish</x:v>
      </x:c>
      <x:c r="D570" s="23" t="str">
        <x:v>Eau</x:v>
      </x:c>
      <x:c r="E570" s="23" t="str">
        <x:v>Spectre</x:v>
      </x:c>
      <x:c r="F570" s="23" t="str">
        <x:v>Uncommon</x:v>
      </x:c>
      <x:c r="G570" s="45" t="n">
        <x:v>5000</x:v>
      </x:c>
      <x:c r="H570" s="45" t="n">
        <x:f>IF(G570="","",ROUNDUP(G570*3,0))</x:f>
        <x:v>15000</x:v>
      </x:c>
      <x:c r="I570" s="41" t="n">
        <x:v>1</x:v>
      </x:c>
      <x:c r="J570" s="42" t="n">
        <x:v>55</x:v>
      </x:c>
      <x:c r="K570" s="42" t="n">
        <x:v>40</x:v>
      </x:c>
      <x:c r="L570" s="42" t="n">
        <x:v>50</x:v>
      </x:c>
      <x:c r="M570" s="42" t="n">
        <x:v>65</x:v>
      </x:c>
      <x:c r="N570" s="42" t="n">
        <x:v>85</x:v>
      </x:c>
      <x:c r="O570" s="42" t="n">
        <x:v>40</x:v>
      </x:c>
      <x:c r="P570" s="43" t="n">
        <x:f>IF(COUNT(J570:O570)=0,"",SUM(J570:O570))</x:f>
        <x:v>335</x:v>
      </x:c>
      <x:c r="Q570" s="23" t="str">
        <x:v>7 lignes de spawn</x:v>
      </x:c>
      <x:c r="R570" s="23" t="str">
        <x:v>Ils paralysent leurs proies avec un poison, puis les entraînent cinq kilomètres sous l'eau dans leurs repaires.</x:v>
      </x:c>
      <x:c r="S570" s="23" t="str"/>
      <x:c r="T570" s="23" t="str">
        <x:v>https://pixelmonmod.com/wiki/Frillish</x:v>
      </x:c>
    </x:row>
    <x:row r="571" ht="54" customHeight="1">
      <x:c r="A571" s="27" t="n">
        <x:v>593</x:v>
      </x:c>
      <x:c r="B571" s="23" t="str">
        <x:v>Moyade</x:v>
      </x:c>
      <x:c r="C571" s="23" t="str">
        <x:v>Jellicent</x:v>
      </x:c>
      <x:c r="D571" s="23" t="str">
        <x:v>Eau</x:v>
      </x:c>
      <x:c r="E571" s="23" t="str">
        <x:v>Spectre</x:v>
      </x:c>
      <x:c r="F571" s="23" t="str">
        <x:v>Ultra Rare</x:v>
      </x:c>
      <x:c r="G571" s="45" t="n">
        <x:v>75000</x:v>
      </x:c>
      <x:c r="H571" s="45" t="n">
        <x:f>IF(G571="","",ROUNDUP(G571*3,0))</x:f>
        <x:v>225000</x:v>
      </x:c>
      <x:c r="I571" s="41" t="n">
        <x:v>1</x:v>
      </x:c>
      <x:c r="J571" s="42" t="n">
        <x:v>100</x:v>
      </x:c>
      <x:c r="K571" s="42" t="n">
        <x:v>60</x:v>
      </x:c>
      <x:c r="L571" s="42" t="n">
        <x:v>70</x:v>
      </x:c>
      <x:c r="M571" s="42" t="n">
        <x:v>85</x:v>
      </x:c>
      <x:c r="N571" s="42" t="n">
        <x:v>105</x:v>
      </x:c>
      <x:c r="O571" s="42" t="n">
        <x:v>60</x:v>
      </x:c>
      <x:c r="P571" s="43" t="n">
        <x:f>IF(COUNT(J571:O571)=0,"",SUM(J571:O571))</x:f>
        <x:v>480</x:v>
      </x:c>
      <x:c r="Q571" s="23" t="str">
        <x:v>5 lignes de spawn</x:v>
      </x:c>
      <x:c r="R571" s="23" t="str">
        <x:v>Son corps est constitué en grande partie d'eau de mer. On raconte qu'il existe au fond de l'océan un château composé des navires que les Moyade ont coulés.</x:v>
      </x:c>
      <x:c r="S571" s="23" t="str"/>
      <x:c r="T571" s="23" t="str">
        <x:v>https://pixelmonmod.com/wiki/Jellicent</x:v>
      </x:c>
    </x:row>
    <x:row r="572" ht="54" customHeight="1">
      <x:c r="A572" s="27" t="n">
        <x:v>594</x:v>
      </x:c>
      <x:c r="B572" s="23" t="str">
        <x:v>Mamanbo</x:v>
      </x:c>
      <x:c r="C572" s="23" t="str">
        <x:v>Alomomola</x:v>
      </x:c>
      <x:c r="D572" s="23" t="str">
        <x:v>Eau</x:v>
      </x:c>
      <x:c r="E572" s="23" t="str"/>
      <x:c r="F572" s="23" t="str">
        <x:v>Uncommon</x:v>
      </x:c>
      <x:c r="G572" s="45" t="n">
        <x:v>5000</x:v>
      </x:c>
      <x:c r="H572" s="45" t="n">
        <x:f>IF(G572="","",ROUNDUP(G572*3,0))</x:f>
        <x:v>15000</x:v>
      </x:c>
      <x:c r="I572" s="41" t="n">
        <x:v>0.556</x:v>
      </x:c>
      <x:c r="J572" s="42" t="n">
        <x:v>165</x:v>
      </x:c>
      <x:c r="K572" s="42" t="n">
        <x:v>75</x:v>
      </x:c>
      <x:c r="L572" s="42" t="n">
        <x:v>80</x:v>
      </x:c>
      <x:c r="M572" s="42" t="n">
        <x:v>40</x:v>
      </x:c>
      <x:c r="N572" s="42" t="n">
        <x:v>45</x:v>
      </x:c>
      <x:c r="O572" s="42" t="n">
        <x:v>65</x:v>
      </x:c>
      <x:c r="P572" s="43" t="n">
        <x:f>IF(COUNT(J572:O572)=0,"",SUM(J572:O572))</x:f>
        <x:v>470</x:v>
      </x:c>
      <x:c r="Q572" s="23" t="str">
        <x:v>9 lignes de spawn</x:v>
      </x:c>
      <x:c r="R572" s="23" t="str">
        <x:v>Il serre doucement les Pokémon blessés et affaiblis dans ses nageoires. Sa membrane spéciale soigne leurs blessures.</x:v>
      </x:c>
      <x:c r="S572" s="23" t="str"/>
      <x:c r="T572" s="23" t="str">
        <x:v>https://pixelmonmod.com/wiki/Alomomola</x:v>
      </x:c>
    </x:row>
    <x:row r="573" ht="54" customHeight="1">
      <x:c r="A573" s="27" t="n">
        <x:v>595</x:v>
      </x:c>
      <x:c r="B573" s="23" t="str">
        <x:v>Statitik</x:v>
      </x:c>
      <x:c r="C573" s="23" t="str">
        <x:v>Joltik</x:v>
      </x:c>
      <x:c r="D573" s="23" t="str">
        <x:v>Insecte</x:v>
      </x:c>
      <x:c r="E573" s="23" t="str">
        <x:v>Électrik</x:v>
      </x:c>
      <x:c r="F573" s="23" t="str">
        <x:v>Uncommon / Rare / Very Rare</x:v>
      </x:c>
      <x:c r="G573" s="45" t="n">
        <x:v>30000</x:v>
      </x:c>
      <x:c r="H573" s="45" t="n">
        <x:f>IF(G573="","",ROUNDUP(G573*3,0))</x:f>
        <x:v>90000</x:v>
      </x:c>
      <x:c r="I573" s="41" t="n">
        <x:v>0.33299999999999996</x:v>
      </x:c>
      <x:c r="J573" s="42" t="n">
        <x:v>50</x:v>
      </x:c>
      <x:c r="K573" s="42" t="n">
        <x:v>47</x:v>
      </x:c>
      <x:c r="L573" s="42" t="n">
        <x:v>50</x:v>
      </x:c>
      <x:c r="M573" s="42" t="n">
        <x:v>57</x:v>
      </x:c>
      <x:c r="N573" s="42" t="n">
        <x:v>50</x:v>
      </x:c>
      <x:c r="O573" s="42" t="n">
        <x:v>65</x:v>
      </x:c>
      <x:c r="P573" s="43" t="n">
        <x:f>IF(COUNT(J573:O573)=0,"",SUM(J573:O573))</x:f>
        <x:v>319</x:v>
      </x:c>
      <x:c r="Q573" s="23" t="str">
        <x:v>3 lignes de spawn</x:v>
      </x:c>
      <x:c r="R573" s="23" t="str">
        <x:v>Comme il ne peut pas produire sa propre électricité, il s'accroche à des Pokémon de grande taille pour absorber leur électricité statique.</x:v>
      </x:c>
      <x:c r="S573" s="23" t="str">
        <x:v>Égalité de fréquence; prix provisoire basé sur le palier le plus élevé. Very Rare aligné sur le palier Super Rare (provisoire).</x:v>
      </x:c>
      <x:c r="T573" s="23" t="str">
        <x:v>https://pixelmonmod.com/wiki/Joltik</x:v>
      </x:c>
    </x:row>
    <x:row r="574" ht="54" customHeight="1">
      <x:c r="A574" s="27" t="n">
        <x:v>596</x:v>
      </x:c>
      <x:c r="B574" s="23" t="str">
        <x:v>Mygavolt</x:v>
      </x:c>
      <x:c r="C574" s="23" t="str">
        <x:v>Galvantula</x:v>
      </x:c>
      <x:c r="D574" s="23" t="str">
        <x:v>Insecte</x:v>
      </x:c>
      <x:c r="E574" s="23" t="str">
        <x:v>Électrik</x:v>
      </x:c>
      <x:c r="F574" s="23" t="str">
        <x:v>Ultra Rare</x:v>
      </x:c>
      <x:c r="G574" s="45" t="n">
        <x:v>75000</x:v>
      </x:c>
      <x:c r="H574" s="45" t="n">
        <x:f>IF(G574="","",ROUNDUP(G574*3,0))</x:f>
        <x:v>225000</x:v>
      </x:c>
      <x:c r="I574" s="41" t="n">
        <x:v>0.667</x:v>
      </x:c>
      <x:c r="J574" s="42" t="n">
        <x:v>70</x:v>
      </x:c>
      <x:c r="K574" s="42" t="n">
        <x:v>77</x:v>
      </x:c>
      <x:c r="L574" s="42" t="n">
        <x:v>60</x:v>
      </x:c>
      <x:c r="M574" s="42" t="n">
        <x:v>97</x:v>
      </x:c>
      <x:c r="N574" s="42" t="n">
        <x:v>60</x:v>
      </x:c>
      <x:c r="O574" s="42" t="n">
        <x:v>108</x:v>
      </x:c>
      <x:c r="P574" s="43" t="n">
        <x:f>IF(COUNT(J574:O574)=0,"",SUM(J574:O574))</x:f>
        <x:v>472</x:v>
      </x:c>
      <x:c r="Q574" s="23" t="str">
        <x:v>3 lignes de spawn</x:v>
      </x:c>
      <x:c r="R574" s="23" t="str">
        <x:v>Il utilise une toile chargée d'électricité pour piéger ses proies. Pendant qu'elles sont paralysées par les décharges, il les dévore tranquillement.</x:v>
      </x:c>
      <x:c r="S574" s="23" t="str"/>
      <x:c r="T574" s="23" t="str">
        <x:v>https://pixelmonmod.com/wiki/Galvantula</x:v>
      </x:c>
    </x:row>
    <x:row r="575" ht="54" customHeight="1">
      <x:c r="A575" s="27" t="n">
        <x:v>597</x:v>
      </x:c>
      <x:c r="B575" s="23" t="str">
        <x:v>Grindur</x:v>
      </x:c>
      <x:c r="C575" s="23" t="str">
        <x:v>Ferroseed</x:v>
      </x:c>
      <x:c r="D575" s="23" t="str">
        <x:v>Plante</x:v>
      </x:c>
      <x:c r="E575" s="23" t="str">
        <x:v>Acier</x:v>
      </x:c>
      <x:c r="F575" s="23" t="str">
        <x:v>Uncommon / Ultra Rare</x:v>
      </x:c>
      <x:c r="G575" s="45" t="n">
        <x:v>75000</x:v>
      </x:c>
      <x:c r="H575" s="45" t="n">
        <x:f>IF(G575="","",ROUNDUP(G575*3,0))</x:f>
        <x:v>225000</x:v>
      </x:c>
      <x:c r="I575" s="41" t="n">
        <x:v>0.5</x:v>
      </x:c>
      <x:c r="J575" s="42" t="n">
        <x:v>44</x:v>
      </x:c>
      <x:c r="K575" s="42" t="n">
        <x:v>50</x:v>
      </x:c>
      <x:c r="L575" s="42" t="n">
        <x:v>91</x:v>
      </x:c>
      <x:c r="M575" s="42" t="n">
        <x:v>24</x:v>
      </x:c>
      <x:c r="N575" s="42" t="n">
        <x:v>86</x:v>
      </x:c>
      <x:c r="O575" s="42" t="n">
        <x:v>10</x:v>
      </x:c>
      <x:c r="P575" s="43" t="n">
        <x:f>IF(COUNT(J575:O575)=0,"",SUM(J575:O575))</x:f>
        <x:v>305</x:v>
      </x:c>
      <x:c r="Q575" s="23" t="str">
        <x:v>4 lignes de spawn</x:v>
      </x:c>
      <x:c r="R575" s="23" t="str">
        <x:v>Quand il est menacé, il attaque en lançant une pluie de pics, ce qui lui permet de s'échapper en roulant.</x:v>
      </x:c>
      <x:c r="S575" s="23" t="str">
        <x:v>Égalité de fréquence; prix provisoire basé sur le palier le plus élevé.</x:v>
      </x:c>
      <x:c r="T575" s="23" t="str">
        <x:v>https://pixelmonmod.com/wiki/Ferroseed</x:v>
      </x:c>
    </x:row>
    <x:row r="576" ht="54" customHeight="1">
      <x:c r="A576" s="27" t="n">
        <x:v>598</x:v>
      </x:c>
      <x:c r="B576" s="23" t="str">
        <x:v>Noacier</x:v>
      </x:c>
      <x:c r="C576" s="23" t="str">
        <x:v>Ferrothorn</x:v>
      </x:c>
      <x:c r="D576" s="23" t="str">
        <x:v>Plante</x:v>
      </x:c>
      <x:c r="E576" s="23" t="str">
        <x:v>Acier</x:v>
      </x:c>
      <x:c r="F576" s="23" t="str">
        <x:v>Ultra Rare</x:v>
      </x:c>
      <x:c r="G576" s="45" t="n">
        <x:v>75000</x:v>
      </x:c>
      <x:c r="H576" s="45" t="n">
        <x:f>IF(G576="","",ROUNDUP(G576*3,0))</x:f>
        <x:v>225000</x:v>
      </x:c>
      <x:c r="I576" s="41" t="n">
        <x:v>1</x:v>
      </x:c>
      <x:c r="J576" s="42" t="n">
        <x:v>74</x:v>
      </x:c>
      <x:c r="K576" s="42" t="n">
        <x:v>94</x:v>
      </x:c>
      <x:c r="L576" s="42" t="n">
        <x:v>131</x:v>
      </x:c>
      <x:c r="M576" s="42" t="n">
        <x:v>54</x:v>
      </x:c>
      <x:c r="N576" s="42" t="n">
        <x:v>116</x:v>
      </x:c>
      <x:c r="O576" s="42" t="n">
        <x:v>20</x:v>
      </x:c>
      <x:c r="P576" s="43" t="n">
        <x:f>IF(COUNT(J576:O576)=0,"",SUM(J576:O576))</x:f>
        <x:v>489</x:v>
      </x:c>
      <x:c r="Q576" s="23" t="str">
        <x:v>4 lignes de spawn</x:v>
      </x:c>
      <x:c r="R576" s="23" t="str">
        <x:v>En tournoyant ses trois dards et en projetant des piques, il peut anéantir un adversaire.</x:v>
      </x:c>
      <x:c r="S576" s="23" t="str"/>
      <x:c r="T576" s="23" t="str">
        <x:v>https://pixelmonmod.com/wiki/Ferrothorn</x:v>
      </x:c>
    </x:row>
    <x:row r="577" ht="54" customHeight="1">
      <x:c r="A577" s="27" t="n">
        <x:v>599</x:v>
      </x:c>
      <x:c r="B577" s="23" t="str">
        <x:v>Tic</x:v>
      </x:c>
      <x:c r="C577" s="23" t="str">
        <x:v>Klink</x:v>
      </x:c>
      <x:c r="D577" s="23" t="str">
        <x:v>Acier</x:v>
      </x:c>
      <x:c r="E577" s="23" t="str"/>
      <x:c r="F577" s="23" t="str">
        <x:v>Uncommon</x:v>
      </x:c>
      <x:c r="G577" s="45" t="n">
        <x:v>5000</x:v>
      </x:c>
      <x:c r="H577" s="45" t="n">
        <x:f>IF(G577="","",ROUNDUP(G577*3,0))</x:f>
        <x:v>15000</x:v>
      </x:c>
      <x:c r="I577" s="41" t="n">
        <x:v>0.667</x:v>
      </x:c>
      <x:c r="J577" s="42" t="n">
        <x:v>40</x:v>
      </x:c>
      <x:c r="K577" s="42" t="n">
        <x:v>55</x:v>
      </x:c>
      <x:c r="L577" s="42" t="n">
        <x:v>70</x:v>
      </x:c>
      <x:c r="M577" s="42" t="n">
        <x:v>45</x:v>
      </x:c>
      <x:c r="N577" s="42" t="n">
        <x:v>60</x:v>
      </x:c>
      <x:c r="O577" s="42" t="n">
        <x:v>30</x:v>
      </x:c>
      <x:c r="P577" s="43" t="n">
        <x:f>IF(COUNT(J577:O577)=0,"",SUM(J577:O577))</x:f>
        <x:v>300</x:v>
      </x:c>
      <x:c r="Q577" s="23" t="str">
        <x:v>3 lignes de spawn</x:v>
      </x:c>
      <x:c r="R577" s="23" t="str">
        <x:v>En s'emboîtant et en tournant, leurs deux corps génèrent l'énergie dont ils ont besoin pour vivre.</x:v>
      </x:c>
      <x:c r="S577" s="23" t="str"/>
      <x:c r="T577" s="23" t="str">
        <x:v>https://pixelmonmod.com/wiki/Klink</x:v>
      </x:c>
    </x:row>
    <x:row r="578" ht="54" customHeight="1">
      <x:c r="A578" s="27" t="n">
        <x:v>600</x:v>
      </x:c>
      <x:c r="B578" s="23" t="str">
        <x:v>Clic</x:v>
      </x:c>
      <x:c r="C578" s="23" t="str">
        <x:v>Klang</x:v>
      </x:c>
      <x:c r="D578" s="23" t="str">
        <x:v>Acier</x:v>
      </x:c>
      <x:c r="E578" s="23" t="str"/>
      <x:c r="F578" s="23" t="str">
        <x:v>Ultra Rare</x:v>
      </x:c>
      <x:c r="G578" s="45" t="n">
        <x:v>75000</x:v>
      </x:c>
      <x:c r="H578" s="45" t="n">
        <x:f>IF(G578="","",ROUNDUP(G578*3,0))</x:f>
        <x:v>225000</x:v>
      </x:c>
      <x:c r="I578" s="41" t="n">
        <x:v>0.75</x:v>
      </x:c>
      <x:c r="J578" s="42" t="n">
        <x:v>60</x:v>
      </x:c>
      <x:c r="K578" s="42" t="n">
        <x:v>80</x:v>
      </x:c>
      <x:c r="L578" s="42" t="n">
        <x:v>95</x:v>
      </x:c>
      <x:c r="M578" s="42" t="n">
        <x:v>70</x:v>
      </x:c>
      <x:c r="N578" s="42" t="n">
        <x:v>85</x:v>
      </x:c>
      <x:c r="O578" s="42" t="n">
        <x:v>50</x:v>
      </x:c>
      <x:c r="P578" s="43" t="n">
        <x:f>IF(COUNT(J578:O578)=0,"",SUM(J578:O578))</x:f>
        <x:v>440</x:v>
      </x:c>
      <x:c r="Q578" s="23" t="str">
        <x:v>4 lignes de spawn</x:v>
      </x:c>
      <x:c r="R578" s="23" t="str">
        <x:v>En changeant la direction de sa rotation, il communique ses émotions. Lorsqu'il est en colère, il tourne plus vite.</x:v>
      </x:c>
      <x:c r="S578" s="23" t="str"/>
      <x:c r="T578" s="23" t="str">
        <x:v>https://pixelmonmod.com/wiki/Klang</x:v>
      </x:c>
    </x:row>
    <x:row r="579" ht="54" customHeight="1">
      <x:c r="A579" s="27" t="n">
        <x:v>601</x:v>
      </x:c>
      <x:c r="B579" s="23" t="str">
        <x:v>Cliticlic</x:v>
      </x:c>
      <x:c r="C579" s="23" t="str">
        <x:v>Klinklang</x:v>
      </x:c>
      <x:c r="D579" s="23" t="str">
        <x:v>Acier</x:v>
      </x:c>
      <x:c r="E579" s="23" t="str"/>
      <x:c r="F579" s="23" t="str">
        <x:v>Ultra Rare</x:v>
      </x:c>
      <x:c r="G579" s="45" t="n">
        <x:v>75000</x:v>
      </x:c>
      <x:c r="H579" s="45" t="n">
        <x:f>IF(G579="","",ROUNDUP(G579*3,0))</x:f>
        <x:v>225000</x:v>
      </x:c>
      <x:c r="I579" s="41" t="n">
        <x:v>1</x:v>
      </x:c>
      <x:c r="J579" s="42" t="n">
        <x:v>60</x:v>
      </x:c>
      <x:c r="K579" s="42" t="n">
        <x:v>100</x:v>
      </x:c>
      <x:c r="L579" s="42" t="n">
        <x:v>115</x:v>
      </x:c>
      <x:c r="M579" s="42" t="n">
        <x:v>70</x:v>
      </x:c>
      <x:c r="N579" s="42" t="n">
        <x:v>85</x:v>
      </x:c>
      <x:c r="O579" s="42" t="n">
        <x:v>90</x:v>
      </x:c>
      <x:c r="P579" s="43" t="n">
        <x:f>IF(COUNT(J579:O579)=0,"",SUM(J579:O579))</x:f>
        <x:v>520</x:v>
      </x:c>
      <x:c r="Q579" s="23" t="str">
        <x:v>4 lignes de spawn</x:v>
      </x:c>
      <x:c r="R579" s="23" t="str">
        <x:v>L'engrenage au noyau rouge tourne à grande vitesse pour accumuler rapidement de l'énergie.</x:v>
      </x:c>
      <x:c r="S579" s="23" t="str"/>
      <x:c r="T579" s="23" t="str">
        <x:v>https://pixelmonmod.com/wiki/Klinklang</x:v>
      </x:c>
    </x:row>
    <x:row r="580" ht="54" customHeight="1">
      <x:c r="A580" s="27" t="n">
        <x:v>602</x:v>
      </x:c>
      <x:c r="B580" s="23" t="str">
        <x:v>Anchwatt</x:v>
      </x:c>
      <x:c r="C580" s="23" t="str">
        <x:v>Tynamo</x:v>
      </x:c>
      <x:c r="D580" s="23" t="str">
        <x:v>Électrik</x:v>
      </x:c>
      <x:c r="E580" s="23" t="str"/>
      <x:c r="F580" s="23" t="str">
        <x:v>Uncommon / Ultra Rare</x:v>
      </x:c>
      <x:c r="G580" s="45" t="n">
        <x:v>75000</x:v>
      </x:c>
      <x:c r="H580" s="45" t="n">
        <x:f>IF(G580="","",ROUNDUP(G580*3,0))</x:f>
        <x:v>225000</x:v>
      </x:c>
      <x:c r="I580" s="41" t="n">
        <x:v>0.455</x:v>
      </x:c>
      <x:c r="J580" s="42" t="n">
        <x:v>35</x:v>
      </x:c>
      <x:c r="K580" s="42" t="n">
        <x:v>55</x:v>
      </x:c>
      <x:c r="L580" s="42" t="n">
        <x:v>40</x:v>
      </x:c>
      <x:c r="M580" s="42" t="n">
        <x:v>45</x:v>
      </x:c>
      <x:c r="N580" s="42" t="n">
        <x:v>40</x:v>
      </x:c>
      <x:c r="O580" s="42" t="n">
        <x:v>60</x:v>
      </x:c>
      <x:c r="P580" s="43" t="n">
        <x:f>IF(COUNT(J580:O580)=0,"",SUM(J580:O580))</x:f>
        <x:v>275</x:v>
      </x:c>
      <x:c r="Q580" s="23" t="str">
        <x:v>11 lignes de spawn</x:v>
      </x:c>
      <x:c r="R580" s="23" t="str">
        <x:v>Bien qu'un seul Anchwatt soit peu puissant, une chaîne de plusieurs peut atteindre la puissance de la foudre.</x:v>
      </x:c>
      <x:c r="S580" s="23" t="str">
        <x:v>Égalité de fréquence; prix provisoire basé sur le palier le plus élevé.</x:v>
      </x:c>
      <x:c r="T580" s="23" t="str">
        <x:v>https://pixelmonmod.com/wiki/Tynamo</x:v>
      </x:c>
    </x:row>
    <x:row r="581" ht="54" customHeight="1">
      <x:c r="A581" s="27" t="n">
        <x:v>603</x:v>
      </x:c>
      <x:c r="B581" s="23" t="str">
        <x:v>Lampéroie</x:v>
      </x:c>
      <x:c r="C581" s="23" t="str">
        <x:v>Eelektrik</x:v>
      </x:c>
      <x:c r="D581" s="23" t="str">
        <x:v>Électrik</x:v>
      </x:c>
      <x:c r="E581" s="23" t="str"/>
      <x:c r="F581" s="23" t="str">
        <x:v>Ultra Rare</x:v>
      </x:c>
      <x:c r="G581" s="45" t="n">
        <x:v>75000</x:v>
      </x:c>
      <x:c r="H581" s="45" t="n">
        <x:f>IF(G581="","",ROUNDUP(G581*3,0))</x:f>
        <x:v>225000</x:v>
      </x:c>
      <x:c r="I581" s="41" t="n">
        <x:v>0.909</x:v>
      </x:c>
      <x:c r="J581" s="42" t="n">
        <x:v>65</x:v>
      </x:c>
      <x:c r="K581" s="42" t="n">
        <x:v>85</x:v>
      </x:c>
      <x:c r="L581" s="42" t="n">
        <x:v>70</x:v>
      </x:c>
      <x:c r="M581" s="42" t="n">
        <x:v>75</x:v>
      </x:c>
      <x:c r="N581" s="42" t="n">
        <x:v>70</x:v>
      </x:c>
      <x:c r="O581" s="42" t="n">
        <x:v>40</x:v>
      </x:c>
      <x:c r="P581" s="43" t="n">
        <x:f>IF(COUNT(J581:O581)=0,"",SUM(J581:O581))</x:f>
        <x:v>405</x:v>
      </x:c>
      <x:c r="Q581" s="23" t="str">
        <x:v>11 lignes de spawn</x:v>
      </x:c>
      <x:c r="R581" s="23" t="str">
        <x:v>Il s'enroule autour de sa proie et la paralyse grâce à l'électricité émise par les taches rondes sur ses flancs. Ensuite, il la mord.</x:v>
      </x:c>
      <x:c r="S581" s="23" t="str"/>
      <x:c r="T581" s="23" t="str">
        <x:v>https://pixelmonmod.com/wiki/Eelektrik</x:v>
      </x:c>
    </x:row>
    <x:row r="582" ht="54" customHeight="1">
      <x:c r="A582" s="27" t="n">
        <x:v>604</x:v>
      </x:c>
      <x:c r="B582" s="23" t="str">
        <x:v>Ohmassacre</x:v>
      </x:c>
      <x:c r="C582" s="23" t="str">
        <x:v>Eelektross</x:v>
      </x:c>
      <x:c r="D582" s="23" t="str">
        <x:v>Électrik</x:v>
      </x:c>
      <x:c r="E582" s="23" t="str"/>
      <x:c r="F582" s="23" t="str">
        <x:v>Ultra Rare</x:v>
      </x:c>
      <x:c r="G582" s="45" t="n">
        <x:v>75000</x:v>
      </x:c>
      <x:c r="H582" s="45" t="n">
        <x:f>IF(G582="","",ROUNDUP(G582*3,0))</x:f>
        <x:v>225000</x:v>
      </x:c>
      <x:c r="I582" s="41" t="n">
        <x:v>1</x:v>
      </x:c>
      <x:c r="J582" s="42" t="n">
        <x:v>85</x:v>
      </x:c>
      <x:c r="K582" s="42" t="n">
        <x:v>115</x:v>
      </x:c>
      <x:c r="L582" s="42" t="n">
        <x:v>80</x:v>
      </x:c>
      <x:c r="M582" s="42" t="n">
        <x:v>105</x:v>
      </x:c>
      <x:c r="N582" s="42" t="n">
        <x:v>80</x:v>
      </x:c>
      <x:c r="O582" s="42" t="n">
        <x:v>50</x:v>
      </x:c>
      <x:c r="P582" s="43" t="n">
        <x:f>IF(COUNT(J582:O582)=0,"",SUM(J582:O582))</x:f>
        <x:v>515</x:v>
      </x:c>
      <x:c r="Q582" s="23" t="str">
        <x:v>6 lignes de spawn</x:v>
      </x:c>
      <x:c r="R582" s="23" t="str">
        <x:v>Grâce à leur bouche ventouse, ils aspirent leurs proies, puis les choquent avec leurs crocs électriques.</x:v>
      </x:c>
      <x:c r="S582" s="23" t="str"/>
      <x:c r="T582" s="23" t="str">
        <x:v>https://pixelmonmod.com/wiki/Eelektross</x:v>
      </x:c>
    </x:row>
    <x:row r="583" ht="54" customHeight="1">
      <x:c r="A583" s="27" t="n">
        <x:v>605</x:v>
      </x:c>
      <x:c r="B583" s="23" t="str">
        <x:v>Lewsor</x:v>
      </x:c>
      <x:c r="C583" s="23" t="str">
        <x:v>Elgyem</x:v>
      </x:c>
      <x:c r="D583" s="23" t="str">
        <x:v>Psy</x:v>
      </x:c>
      <x:c r="E583" s="23" t="str"/>
      <x:c r="F583" s="23" t="str">
        <x:v>Uncommon</x:v>
      </x:c>
      <x:c r="G583" s="45" t="n">
        <x:v>5000</x:v>
      </x:c>
      <x:c r="H583" s="45" t="n">
        <x:f>IF(G583="","",ROUNDUP(G583*3,0))</x:f>
        <x:v>15000</x:v>
      </x:c>
      <x:c r="I583" s="41" t="n">
        <x:v>1</x:v>
      </x:c>
      <x:c r="J583" s="42" t="n">
        <x:v>55</x:v>
      </x:c>
      <x:c r="K583" s="42" t="n">
        <x:v>55</x:v>
      </x:c>
      <x:c r="L583" s="42" t="n">
        <x:v>55</x:v>
      </x:c>
      <x:c r="M583" s="42" t="n">
        <x:v>85</x:v>
      </x:c>
      <x:c r="N583" s="42" t="n">
        <x:v>55</x:v>
      </x:c>
      <x:c r="O583" s="42" t="n">
        <x:v>30</x:v>
      </x:c>
      <x:c r="P583" s="43" t="n">
        <x:f>IF(COUNT(J583:O583)=0,"",SUM(J583:O583))</x:f>
        <x:v>335</x:v>
      </x:c>
      <x:c r="Q583" s="23" t="str">
        <x:v>6 lignes de spawn</x:v>
      </x:c>
      <x:c r="R583" s="23" t="str">
        <x:v>Il utilise ses puissants pouvoirs psychiques pour comprimer le cerveau de son adversaire, lui causant des migraines atroces.</x:v>
      </x:c>
      <x:c r="S583" s="23" t="str"/>
      <x:c r="T583" s="23" t="str">
        <x:v>https://pixelmonmod.com/wiki/Elgyem</x:v>
      </x:c>
    </x:row>
    <x:row r="584" ht="54" customHeight="1">
      <x:c r="A584" s="27" t="n">
        <x:v>606</x:v>
      </x:c>
      <x:c r="B584" s="23" t="str">
        <x:v>Neitram</x:v>
      </x:c>
      <x:c r="C584" s="23" t="str">
        <x:v>Beheeyem</x:v>
      </x:c>
      <x:c r="D584" s="23" t="str">
        <x:v>Psy</x:v>
      </x:c>
      <x:c r="E584" s="23" t="str"/>
      <x:c r="F584" s="23" t="str">
        <x:v>Ultra Rare</x:v>
      </x:c>
      <x:c r="G584" s="45" t="n">
        <x:v>75000</x:v>
      </x:c>
      <x:c r="H584" s="45" t="n">
        <x:f>IF(G584="","",ROUNDUP(G584*3,0))</x:f>
        <x:v>225000</x:v>
      </x:c>
      <x:c r="I584" s="41" t="n">
        <x:v>0.8</x:v>
      </x:c>
      <x:c r="J584" s="42" t="n">
        <x:v>75</x:v>
      </x:c>
      <x:c r="K584" s="42" t="n">
        <x:v>75</x:v>
      </x:c>
      <x:c r="L584" s="42" t="n">
        <x:v>75</x:v>
      </x:c>
      <x:c r="M584" s="42" t="n">
        <x:v>125</x:v>
      </x:c>
      <x:c r="N584" s="42" t="n">
        <x:v>95</x:v>
      </x:c>
      <x:c r="O584" s="42" t="n">
        <x:v>40</x:v>
      </x:c>
      <x:c r="P584" s="43" t="n">
        <x:f>IF(COUNT(J584:O584)=0,"",SUM(J584:O584))</x:f>
        <x:v>485</x:v>
      </x:c>
      <x:c r="Q584" s="23" t="str">
        <x:v>5 lignes de spawn</x:v>
      </x:c>
      <x:c r="R584" s="23" t="str">
        <x:v>Il semblerait qu'il communique en faisant clignoter ses trois doigts, mais ces motifs n'ont jamais été déchiffrés.</x:v>
      </x:c>
      <x:c r="S584" s="23" t="str"/>
      <x:c r="T584" s="23" t="str">
        <x:v>https://pixelmonmod.com/wiki/Beheeyem</x:v>
      </x:c>
    </x:row>
    <x:row r="585" ht="54" customHeight="1">
      <x:c r="A585" s="27" t="n">
        <x:v>607</x:v>
      </x:c>
      <x:c r="B585" s="23" t="str">
        <x:v>Funécire</x:v>
      </x:c>
      <x:c r="C585" s="23" t="str">
        <x:v>Litwick</x:v>
      </x:c>
      <x:c r="D585" s="23" t="str">
        <x:v>Spectre</x:v>
      </x:c>
      <x:c r="E585" s="23" t="str">
        <x:v>Feu</x:v>
      </x:c>
      <x:c r="F585" s="23" t="str">
        <x:v>Uncommon</x:v>
      </x:c>
      <x:c r="G585" s="45" t="n">
        <x:v>5000</x:v>
      </x:c>
      <x:c r="H585" s="45" t="n">
        <x:f>IF(G585="","",ROUNDUP(G585*3,0))</x:f>
        <x:v>15000</x:v>
      </x:c>
      <x:c r="I585" s="41" t="n">
        <x:v>0.667</x:v>
      </x:c>
      <x:c r="J585" s="42" t="n">
        <x:v>50</x:v>
      </x:c>
      <x:c r="K585" s="42" t="n">
        <x:v>30</x:v>
      </x:c>
      <x:c r="L585" s="42" t="n">
        <x:v>55</x:v>
      </x:c>
      <x:c r="M585" s="42" t="n">
        <x:v>65</x:v>
      </x:c>
      <x:c r="N585" s="42" t="n">
        <x:v>55</x:v>
      </x:c>
      <x:c r="O585" s="42" t="n">
        <x:v>20</x:v>
      </x:c>
      <x:c r="P585" s="43" t="n">
        <x:f>IF(COUNT(J585:O585)=0,"",SUM(J585:O585))</x:f>
        <x:v>275</x:v>
      </x:c>
      <x:c r="Q585" s="23" t="str">
        <x:v>3 lignes de spawn</x:v>
      </x:c>
      <x:c r="R585" s="23" t="str">
        <x:v>Tout en faisant semblant d'éclairer le chemin, il absorbe l'énergie vitale de ceux qui le suivent.</x:v>
      </x:c>
      <x:c r="S585" s="23" t="str"/>
      <x:c r="T585" s="23" t="str">
        <x:v>https://pixelmonmod.com/wiki/Litwick</x:v>
      </x:c>
    </x:row>
    <x:row r="586" ht="54" customHeight="1">
      <x:c r="A586" s="27" t="n">
        <x:v>608</x:v>
      </x:c>
      <x:c r="B586" s="23" t="str">
        <x:v>Mélancolux</x:v>
      </x:c>
      <x:c r="C586" s="23" t="str">
        <x:v>Lampent</x:v>
      </x:c>
      <x:c r="D586" s="23" t="str">
        <x:v>Spectre</x:v>
      </x:c>
      <x:c r="E586" s="23" t="str">
        <x:v>Feu</x:v>
      </x:c>
      <x:c r="F586" s="23" t="str">
        <x:v>Ultra Rare</x:v>
      </x:c>
      <x:c r="G586" s="45" t="n">
        <x:v>75000</x:v>
      </x:c>
      <x:c r="H586" s="45" t="n">
        <x:f>IF(G586="","",ROUNDUP(G586*3,0))</x:f>
        <x:v>225000</x:v>
      </x:c>
      <x:c r="I586" s="41" t="n">
        <x:v>0.667</x:v>
      </x:c>
      <x:c r="J586" s="42" t="n">
        <x:v>60</x:v>
      </x:c>
      <x:c r="K586" s="42" t="n">
        <x:v>40</x:v>
      </x:c>
      <x:c r="L586" s="42" t="n">
        <x:v>60</x:v>
      </x:c>
      <x:c r="M586" s="42" t="n">
        <x:v>95</x:v>
      </x:c>
      <x:c r="N586" s="42" t="n">
        <x:v>60</x:v>
      </x:c>
      <x:c r="O586" s="42" t="n">
        <x:v>55</x:v>
      </x:c>
      <x:c r="P586" s="43" t="n">
        <x:f>IF(COUNT(J586:O586)=0,"",SUM(J586:O586))</x:f>
        <x:v>370</x:v>
      </x:c>
      <x:c r="Q586" s="23" t="str">
        <x:v>3 lignes de spawn</x:v>
      </x:c>
      <x:c r="R586" s="23" t="str">
        <x:v>Les âmes qu'il absorbe alimentent sa flamme funeste. Il rôde près des hôpitaux en attendant que des personnes passent de vie à trépas.</x:v>
      </x:c>
      <x:c r="S586" s="23" t="str"/>
      <x:c r="T586" s="23" t="str">
        <x:v>https://pixelmonmod.com/wiki/Lampent</x:v>
      </x:c>
    </x:row>
    <x:row r="587" ht="54" customHeight="1">
      <x:c r="A587" s="27" t="n">
        <x:v>609</x:v>
      </x:c>
      <x:c r="B587" s="23" t="str">
        <x:v>Lugulabre</x:v>
      </x:c>
      <x:c r="C587" s="23" t="str">
        <x:v>Chandelure</x:v>
      </x:c>
      <x:c r="D587" s="23" t="str">
        <x:v>Spectre</x:v>
      </x:c>
      <x:c r="E587" s="23" t="str">
        <x:v>Feu</x:v>
      </x:c>
      <x:c r="F587" s="23" t="str">
        <x:v>Ultra Rare</x:v>
      </x:c>
      <x:c r="G587" s="45" t="n">
        <x:v>75000</x:v>
      </x:c>
      <x:c r="H587" s="45" t="n">
        <x:f>IF(G587="","",ROUNDUP(G587*3,0))</x:f>
        <x:v>225000</x:v>
      </x:c>
      <x:c r="I587" s="41" t="n">
        <x:v>1</x:v>
      </x:c>
      <x:c r="J587" s="42" t="n">
        <x:v>60</x:v>
      </x:c>
      <x:c r="K587" s="42" t="n">
        <x:v>55</x:v>
      </x:c>
      <x:c r="L587" s="42" t="n">
        <x:v>90</x:v>
      </x:c>
      <x:c r="M587" s="42" t="n">
        <x:v>145</x:v>
      </x:c>
      <x:c r="N587" s="42" t="n">
        <x:v>90</x:v>
      </x:c>
      <x:c r="O587" s="42" t="n">
        <x:v>80</x:v>
      </x:c>
      <x:c r="P587" s="43" t="n">
        <x:f>IF(COUNT(J587:O587)=0,"",SUM(J587:O587))</x:f>
        <x:v>520</x:v>
      </x:c>
      <x:c r="Q587" s="23" t="str">
        <x:v>1 lignes de spawn</x:v>
      </x:c>
      <x:c r="R587" s="23" t="str">
        <x:v>Être consumé par les flammes de Lugulabre brûle l'âme, ne laissant derrière soi que le corps.</x:v>
      </x:c>
      <x:c r="S587" s="23" t="str"/>
      <x:c r="T587" s="23" t="str">
        <x:v>https://pixelmonmod.com/wiki/Chandelure</x:v>
      </x:c>
    </x:row>
    <x:row r="588" ht="54" customHeight="1">
      <x:c r="A588" s="27" t="n">
        <x:v>610</x:v>
      </x:c>
      <x:c r="B588" s="23" t="str">
        <x:v>Coupenotte</x:v>
      </x:c>
      <x:c r="C588" s="23" t="str">
        <x:v>Axew</x:v>
      </x:c>
      <x:c r="D588" s="23" t="str">
        <x:v>Dragon</x:v>
      </x:c>
      <x:c r="E588" s="23" t="str"/>
      <x:c r="F588" s="23" t="str">
        <x:v>Uncommon</x:v>
      </x:c>
      <x:c r="G588" s="45" t="n">
        <x:v>5000</x:v>
      </x:c>
      <x:c r="H588" s="45" t="n">
        <x:f>IF(G588="","",ROUNDUP(G588*3,0))</x:f>
        <x:v>15000</x:v>
      </x:c>
      <x:c r="I588" s="41" t="n">
        <x:v>0.667</x:v>
      </x:c>
      <x:c r="J588" s="42" t="n">
        <x:v>46</x:v>
      </x:c>
      <x:c r="K588" s="42" t="n">
        <x:v>87</x:v>
      </x:c>
      <x:c r="L588" s="42" t="n">
        <x:v>60</x:v>
      </x:c>
      <x:c r="M588" s="42" t="n">
        <x:v>30</x:v>
      </x:c>
      <x:c r="N588" s="42" t="n">
        <x:v>40</x:v>
      </x:c>
      <x:c r="O588" s="42" t="n">
        <x:v>57</x:v>
      </x:c>
      <x:c r="P588" s="43" t="n">
        <x:f>IF(COUNT(J588:O588)=0,"",SUM(J588:O588))</x:f>
        <x:v>320</x:v>
      </x:c>
      <x:c r="Q588" s="23" t="str">
        <x:v>3 lignes de spawn</x:v>
      </x:c>
      <x:c r="R588" s="23" t="str">
        <x:v>Il utilise ses défenses pour écraser les Baies dont il se nourrit. Leurs repousses répétées les rendent dures et tranchantes.</x:v>
      </x:c>
      <x:c r="S588" s="23" t="str"/>
      <x:c r="T588" s="23" t="str">
        <x:v>https://pixelmonmod.com/wiki/Axew</x:v>
      </x:c>
    </x:row>
    <x:row r="589" ht="54" customHeight="1">
      <x:c r="A589" s="27" t="n">
        <x:v>611</x:v>
      </x:c>
      <x:c r="B589" s="23" t="str">
        <x:v>Incisache</x:v>
      </x:c>
      <x:c r="C589" s="23" t="str">
        <x:v>Fraxure</x:v>
      </x:c>
      <x:c r="D589" s="23" t="str">
        <x:v>Dragon</x:v>
      </x:c>
      <x:c r="E589" s="23" t="str"/>
      <x:c r="F589" s="23" t="str">
        <x:v>Very Rare / Ultra Rare</x:v>
      </x:c>
      <x:c r="G589" s="45" t="n">
        <x:v>75000</x:v>
      </x:c>
      <x:c r="H589" s="45" t="n">
        <x:f>IF(G589="","",ROUNDUP(G589*3,0))</x:f>
        <x:v>225000</x:v>
      </x:c>
      <x:c r="I589" s="41" t="n">
        <x:v>0.5</x:v>
      </x:c>
      <x:c r="J589" s="42" t="n">
        <x:v>66</x:v>
      </x:c>
      <x:c r="K589" s="42" t="n">
        <x:v>117</x:v>
      </x:c>
      <x:c r="L589" s="42" t="n">
        <x:v>70</x:v>
      </x:c>
      <x:c r="M589" s="42" t="n">
        <x:v>40</x:v>
      </x:c>
      <x:c r="N589" s="42" t="n">
        <x:v>50</x:v>
      </x:c>
      <x:c r="O589" s="42" t="n">
        <x:v>67</x:v>
      </x:c>
      <x:c r="P589" s="43" t="n">
        <x:f>IF(COUNT(J589:O589)=0,"",SUM(J589:O589))</x:f>
        <x:v>410</x:v>
      </x:c>
      <x:c r="Q589" s="23" t="str">
        <x:v>2 lignes de spawn</x:v>
      </x:c>
      <x:c r="R589" s="23" t="str">
        <x:v>Leurs défenses peuvent briser des rochers. Les combats territoriaux entre Incisache sont d'une grande violence.</x:v>
      </x:c>
      <x:c r="S589" s="23" t="str">
        <x:v>Égalité de fréquence; prix provisoire basé sur le palier le plus élevé. Very Rare aligné sur le palier Super Rare (provisoire).</x:v>
      </x:c>
      <x:c r="T589" s="23" t="str">
        <x:v>https://pixelmonmod.com/wiki/Fraxure</x:v>
      </x:c>
    </x:row>
    <x:row r="590" ht="54" customHeight="1">
      <x:c r="A590" s="27" t="n">
        <x:v>612</x:v>
      </x:c>
      <x:c r="B590" s="23" t="str">
        <x:v>Tranchodon</x:v>
      </x:c>
      <x:c r="C590" s="23" t="str">
        <x:v>Haxorus</x:v>
      </x:c>
      <x:c r="D590" s="23" t="str">
        <x:v>Dragon</x:v>
      </x:c>
      <x:c r="E590" s="23" t="str"/>
      <x:c r="F590" s="23" t="str">
        <x:v>Ultra Rare</x:v>
      </x:c>
      <x:c r="G590" s="45" t="n">
        <x:v>75000</x:v>
      </x:c>
      <x:c r="H590" s="45" t="n">
        <x:f>IF(G590="","",ROUNDUP(G590*3,0))</x:f>
        <x:v>225000</x:v>
      </x:c>
      <x:c r="I590" s="41" t="n">
        <x:v>1</x:v>
      </x:c>
      <x:c r="J590" s="42" t="n">
        <x:v>76</x:v>
      </x:c>
      <x:c r="K590" s="42" t="n">
        <x:v>147</x:v>
      </x:c>
      <x:c r="L590" s="42" t="n">
        <x:v>90</x:v>
      </x:c>
      <x:c r="M590" s="42" t="n">
        <x:v>60</x:v>
      </x:c>
      <x:c r="N590" s="42" t="n">
        <x:v>70</x:v>
      </x:c>
      <x:c r="O590" s="42" t="n">
        <x:v>97</x:v>
      </x:c>
      <x:c r="P590" s="43" t="n">
        <x:f>IF(COUNT(J590:O590)=0,"",SUM(J590:O590))</x:f>
        <x:v>540</x:v>
      </x:c>
      <x:c r="Q590" s="23" t="str">
        <x:v>2 lignes de spawn</x:v>
      </x:c>
      <x:c r="R590" s="23" t="str">
        <x:v>Ils sont bienveillants mais implacables lorsqu'ils défendent leur territoire. Ils défient leurs ennemis avec des défenses capables de trancher l'acier.</x:v>
      </x:c>
      <x:c r="S590" s="23" t="str"/>
      <x:c r="T590" s="23" t="str">
        <x:v>https://pixelmonmod.com/wiki/Haxorus</x:v>
      </x:c>
    </x:row>
    <x:row r="591" ht="54" customHeight="1">
      <x:c r="A591" s="27" t="n">
        <x:v>613</x:v>
      </x:c>
      <x:c r="B591" s="23" t="str">
        <x:v>Polarhume</x:v>
      </x:c>
      <x:c r="C591" s="23" t="str">
        <x:v>Cubchoo</x:v>
      </x:c>
      <x:c r="D591" s="23" t="str">
        <x:v>Glace</x:v>
      </x:c>
      <x:c r="E591" s="23" t="str"/>
      <x:c r="F591" s="23" t="str">
        <x:v>Common</x:v>
      </x:c>
      <x:c r="G591" s="45" t="n">
        <x:v>2000</x:v>
      </x:c>
      <x:c r="H591" s="45" t="n">
        <x:f>IF(G591="","",ROUNDUP(G591*3,0))</x:f>
        <x:v>6000</x:v>
      </x:c>
      <x:c r="I591" s="41" t="n">
        <x:v>0.8</x:v>
      </x:c>
      <x:c r="J591" s="42" t="n">
        <x:v>55</x:v>
      </x:c>
      <x:c r="K591" s="42" t="n">
        <x:v>70</x:v>
      </x:c>
      <x:c r="L591" s="42" t="n">
        <x:v>40</x:v>
      </x:c>
      <x:c r="M591" s="42" t="n">
        <x:v>60</x:v>
      </x:c>
      <x:c r="N591" s="42" t="n">
        <x:v>40</x:v>
      </x:c>
      <x:c r="O591" s="42" t="n">
        <x:v>40</x:v>
      </x:c>
      <x:c r="P591" s="43" t="n">
        <x:f>IF(COUNT(J591:O591)=0,"",SUM(J591:O591))</x:f>
        <x:v>305</x:v>
      </x:c>
      <x:c r="Q591" s="23" t="str">
        <x:v>10 lignes de spawn</x:v>
      </x:c>
      <x:c r="R591" s="23" t="str">
        <x:v>Son nez coule en permanence. Il renifle pour aspirer son mucus, qui sert de matière première à certaines de ses attaques.</x:v>
      </x:c>
      <x:c r="S591" s="23" t="str"/>
      <x:c r="T591" s="23" t="str">
        <x:v>https://pixelmonmod.com/wiki/Cubchoo</x:v>
      </x:c>
    </x:row>
    <x:row r="592" ht="54" customHeight="1">
      <x:c r="A592" s="27" t="n">
        <x:v>614</x:v>
      </x:c>
      <x:c r="B592" s="23" t="str">
        <x:v>Polagriffe</x:v>
      </x:c>
      <x:c r="C592" s="23" t="str">
        <x:v>Beartic</x:v>
      </x:c>
      <x:c r="D592" s="23" t="str">
        <x:v>Glace</x:v>
      </x:c>
      <x:c r="E592" s="23" t="str"/>
      <x:c r="F592" s="23" t="str">
        <x:v>Ultra Rare</x:v>
      </x:c>
      <x:c r="G592" s="45" t="n">
        <x:v>75000</x:v>
      </x:c>
      <x:c r="H592" s="45" t="n">
        <x:f>IF(G592="","",ROUNDUP(G592*3,0))</x:f>
        <x:v>225000</x:v>
      </x:c>
      <x:c r="I592" s="41" t="n">
        <x:v>1</x:v>
      </x:c>
      <x:c r="J592" s="42" t="n">
        <x:v>95</x:v>
      </x:c>
      <x:c r="K592" s="42" t="n">
        <x:v>130</x:v>
      </x:c>
      <x:c r="L592" s="42" t="n">
        <x:v>80</x:v>
      </x:c>
      <x:c r="M592" s="42" t="n">
        <x:v>70</x:v>
      </x:c>
      <x:c r="N592" s="42" t="n">
        <x:v>80</x:v>
      </x:c>
      <x:c r="O592" s="42" t="n">
        <x:v>50</x:v>
      </x:c>
      <x:c r="P592" s="43" t="n">
        <x:f>IF(COUNT(J592:O592)=0,"",SUM(J592:O592))</x:f>
        <x:v>505</x:v>
      </x:c>
      <x:c r="Q592" s="23" t="str">
        <x:v>10 lignes de spawn</x:v>
      </x:c>
      <x:c r="R592" s="23" t="str">
        <x:v>Ils adorent les mers glaciales du nord. Ils créent des passages sur l'océan en gelant leur propre souffle.</x:v>
      </x:c>
      <x:c r="S592" s="23" t="str"/>
      <x:c r="T592" s="23" t="str">
        <x:v>https://pixelmonmod.com/wiki/Beartic</x:v>
      </x:c>
    </x:row>
    <x:row r="593" ht="54" customHeight="1">
      <x:c r="A593" s="27" t="n">
        <x:v>615</x:v>
      </x:c>
      <x:c r="B593" s="23" t="str">
        <x:v>Hexagel</x:v>
      </x:c>
      <x:c r="C593" s="23" t="str">
        <x:v>Cryogonal</x:v>
      </x:c>
      <x:c r="D593" s="23" t="str">
        <x:v>Glace</x:v>
      </x:c>
      <x:c r="E593" s="23" t="str"/>
      <x:c r="F593" s="23" t="str">
        <x:v>Ultra Rare</x:v>
      </x:c>
      <x:c r="G593" s="45" t="n">
        <x:v>75000</x:v>
      </x:c>
      <x:c r="H593" s="45" t="n">
        <x:f>IF(G593="","",ROUNDUP(G593*3,0))</x:f>
        <x:v>225000</x:v>
      </x:c>
      <x:c r="I593" s="41" t="n">
        <x:v>1</x:v>
      </x:c>
      <x:c r="J593" s="42" t="n">
        <x:v>80</x:v>
      </x:c>
      <x:c r="K593" s="42" t="n">
        <x:v>50</x:v>
      </x:c>
      <x:c r="L593" s="42" t="n">
        <x:v>50</x:v>
      </x:c>
      <x:c r="M593" s="42" t="n">
        <x:v>95</x:v>
      </x:c>
      <x:c r="N593" s="42" t="n">
        <x:v>135</x:v>
      </x:c>
      <x:c r="O593" s="42" t="n">
        <x:v>105</x:v>
      </x:c>
      <x:c r="P593" s="43" t="n">
        <x:f>IF(COUNT(J593:O593)=0,"",SUM(J593:O593))</x:f>
        <x:v>515</x:v>
      </x:c>
      <x:c r="Q593" s="23" t="str">
        <x:v>1 lignes de spawn</x:v>
      </x:c>
      <x:c r="R593" s="23" t="str">
        <x:v>Ils naissent dans les nuages de neige. Ils utilisent des chaînes faites de cristaux de glace pour capturer leurs proies.</x:v>
      </x:c>
      <x:c r="S593" s="23" t="str"/>
      <x:c r="T593" s="23" t="str">
        <x:v>https://pixelmonmod.com/wiki/Cryogonal</x:v>
      </x:c>
    </x:row>
    <x:row r="594" ht="54" customHeight="1">
      <x:c r="A594" s="27" t="n">
        <x:v>616</x:v>
      </x:c>
      <x:c r="B594" s="23" t="str">
        <x:v>Escargaume</x:v>
      </x:c>
      <x:c r="C594" s="23" t="str">
        <x:v>Shelmet</x:v>
      </x:c>
      <x:c r="D594" s="23" t="str">
        <x:v>Insecte</x:v>
      </x:c>
      <x:c r="E594" s="23" t="str"/>
      <x:c r="F594" s="23" t="str">
        <x:v>Uncommon</x:v>
      </x:c>
      <x:c r="G594" s="45" t="n">
        <x:v>5000</x:v>
      </x:c>
      <x:c r="H594" s="45" t="n">
        <x:f>IF(G594="","",ROUNDUP(G594*3,0))</x:f>
        <x:v>15000</x:v>
      </x:c>
      <x:c r="I594" s="41" t="n">
        <x:v>1</x:v>
      </x:c>
      <x:c r="J594" s="42" t="n">
        <x:v>50</x:v>
      </x:c>
      <x:c r="K594" s="42" t="n">
        <x:v>40</x:v>
      </x:c>
      <x:c r="L594" s="42" t="n">
        <x:v>85</x:v>
      </x:c>
      <x:c r="M594" s="42" t="n">
        <x:v>40</x:v>
      </x:c>
      <x:c r="N594" s="42" t="n">
        <x:v>65</x:v>
      </x:c>
      <x:c r="O594" s="42" t="n">
        <x:v>25</x:v>
      </x:c>
      <x:c r="P594" s="43" t="n">
        <x:f>IF(COUNT(J594:O594)=0,"",SUM(J594:O594))</x:f>
        <x:v>305</x:v>
      </x:c>
      <x:c r="Q594" s="23" t="str">
        <x:v>2 lignes de spawn</x:v>
      </x:c>
      <x:c r="R594" s="23" t="str">
        <x:v>Lorsqu'Escargaume et Carabing sont réunis et qu'ils reçoivent simultanément une décharge électrique, ils évoluent tous deux.</x:v>
      </x:c>
      <x:c r="S594" s="23" t="str"/>
      <x:c r="T594" s="23" t="str">
        <x:v>https://pixelmonmod.com/wiki/Shelmet</x:v>
      </x:c>
    </x:row>
    <x:row r="595" ht="54" customHeight="1">
      <x:c r="A595" s="27" t="n">
        <x:v>617</x:v>
      </x:c>
      <x:c r="B595" s="23" t="str">
        <x:v>Limaspeed</x:v>
      </x:c>
      <x:c r="C595" s="23" t="str">
        <x:v>Accelgor</x:v>
      </x:c>
      <x:c r="D595" s="23" t="str">
        <x:v>Insecte</x:v>
      </x:c>
      <x:c r="E595" s="23" t="str"/>
      <x:c r="F595" s="23" t="str">
        <x:v>Non classé</x:v>
      </x:c>
      <x:c r="G595" s="45"/>
      <x:c r="H595" s="45" t="str">
        <x:f>IF(G595="","",ROUNDUP(G595*3,0))</x:f>
      </x:c>
      <x:c r="I595" s="41"/>
      <x:c r="J595" s="42" t="n">
        <x:v>80</x:v>
      </x:c>
      <x:c r="K595" s="42" t="n">
        <x:v>70</x:v>
      </x:c>
      <x:c r="L595" s="42" t="n">
        <x:v>40</x:v>
      </x:c>
      <x:c r="M595" s="42" t="n">
        <x:v>100</x:v>
      </x:c>
      <x:c r="N595" s="42" t="n">
        <x:v>60</x:v>
      </x:c>
      <x:c r="O595" s="42" t="n">
        <x:v>145</x:v>
      </x:c>
      <x:c r="P595" s="43" t="n">
        <x:f>IF(COUNT(J595:O595)=0,"",SUM(J595:O595))</x:f>
        <x:v>495</x:v>
      </x:c>
      <x:c r="Q595" s="23" t="str">
        <x:v>Aucune ligne classée</x:v>
      </x:c>
      <x:c r="R595" s="23" t="str">
        <x:v>Après s'être débarrassé de sa lourde coque, il devient très léger et combat avec des mouvements dignes d'un ninja.</x:v>
      </x:c>
      <x:c r="S595" s="23" t="str">
        <x:v>Aucune rareté wiki exploitable; prix à fixer.</x:v>
      </x:c>
      <x:c r="T595" s="23" t="str">
        <x:v>https://pixelmonmod.com/wiki/Accelgor</x:v>
      </x:c>
    </x:row>
    <x:row r="596" ht="54" customHeight="1">
      <x:c r="A596" s="27" t="n">
        <x:v>618</x:v>
      </x:c>
      <x:c r="B596" s="23" t="str">
        <x:v>Limonde</x:v>
      </x:c>
      <x:c r="C596" s="23" t="str">
        <x:v>Stunfisk</x:v>
      </x:c>
      <x:c r="D596" s="23" t="str">
        <x:v>Sol</x:v>
      </x:c>
      <x:c r="E596" s="23" t="str">
        <x:v>Électrik</x:v>
      </x:c>
      <x:c r="F596" s="23" t="str">
        <x:v>Very Rare</x:v>
      </x:c>
      <x:c r="G596" s="45" t="n">
        <x:v>30000</x:v>
      </x:c>
      <x:c r="H596" s="45" t="n">
        <x:f>IF(G596="","",ROUNDUP(G596*3,0))</x:f>
        <x:v>90000</x:v>
      </x:c>
      <x:c r="I596" s="41" t="n">
        <x:v>0.6920000000000001</x:v>
      </x:c>
      <x:c r="J596" s="42" t="n">
        <x:v>109</x:v>
      </x:c>
      <x:c r="K596" s="42" t="n">
        <x:v>66</x:v>
      </x:c>
      <x:c r="L596" s="42" t="n">
        <x:v>84</x:v>
      </x:c>
      <x:c r="M596" s="42" t="n">
        <x:v>81</x:v>
      </x:c>
      <x:c r="N596" s="42" t="n">
        <x:v>99</x:v>
      </x:c>
      <x:c r="O596" s="42" t="n">
        <x:v>32</x:v>
      </x:c>
      <x:c r="P596" s="43" t="n">
        <x:f>IF(COUNT(J596:O596)=0,"",SUM(J596:O596))</x:f>
        <x:v>471</x:v>
      </x:c>
      <x:c r="Q596" s="23" t="str">
        <x:v>13 lignes de spawn</x:v>
      </x:c>
      <x:c r="R596" s="23" t="str">
        <x:v>Sa peau est très dure, si bien qu'il ne craint même pas les piétinements des catcheurs de sumo. Il sourit lorsqu'il émet de l'électricité.</x:v>
      </x:c>
      <x:c r="S596" s="23" t="str">
        <x:v>Very Rare aligné sur le palier Super Rare (provisoire).</x:v>
      </x:c>
      <x:c r="T596" s="23" t="str">
        <x:v>https://pixelmonmod.com/wiki/Stunfisk</x:v>
      </x:c>
    </x:row>
    <x:row r="597" ht="54" customHeight="1">
      <x:c r="A597" s="27" t="n">
        <x:v>619</x:v>
      </x:c>
      <x:c r="B597" s="23" t="str">
        <x:v>Kungfouine</x:v>
      </x:c>
      <x:c r="C597" s="23" t="str">
        <x:v>Mienfoo</x:v>
      </x:c>
      <x:c r="D597" s="23" t="str">
        <x:v>Combat</x:v>
      </x:c>
      <x:c r="E597" s="23" t="str"/>
      <x:c r="F597" s="23" t="str">
        <x:v>Uncommon</x:v>
      </x:c>
      <x:c r="G597" s="45" t="n">
        <x:v>5000</x:v>
      </x:c>
      <x:c r="H597" s="45" t="n">
        <x:f>IF(G597="","",ROUNDUP(G597*3,0))</x:f>
        <x:v>15000</x:v>
      </x:c>
      <x:c r="I597" s="41" t="n">
        <x:v>1</x:v>
      </x:c>
      <x:c r="J597" s="42" t="n">
        <x:v>45</x:v>
      </x:c>
      <x:c r="K597" s="42" t="n">
        <x:v>85</x:v>
      </x:c>
      <x:c r="L597" s="42" t="n">
        <x:v>50</x:v>
      </x:c>
      <x:c r="M597" s="42" t="n">
        <x:v>55</x:v>
      </x:c>
      <x:c r="N597" s="42" t="n">
        <x:v>50</x:v>
      </x:c>
      <x:c r="O597" s="42" t="n">
        <x:v>65</x:v>
      </x:c>
      <x:c r="P597" s="43" t="n">
        <x:f>IF(COUNT(J597:O597)=0,"",SUM(J597:O597))</x:f>
        <x:v>350</x:v>
      </x:c>
      <x:c r="Q597" s="23" t="str">
        <x:v>1 lignes de spawn</x:v>
      </x:c>
      <x:c r="R597" s="23" t="str">
        <x:v>Il tire une grande fierté de sa vitesse d'exécution. Ce qu'il perd en puissance, il le compense largement par la fréquence de ses attaques.</x:v>
      </x:c>
      <x:c r="S597" s="23" t="str"/>
      <x:c r="T597" s="23" t="str">
        <x:v>https://pixelmonmod.com/wiki/Mienfoo</x:v>
      </x:c>
    </x:row>
    <x:row r="598" ht="54" customHeight="1">
      <x:c r="A598" s="27" t="n">
        <x:v>620</x:v>
      </x:c>
      <x:c r="B598" s="23" t="str">
        <x:v>Shaofouine</x:v>
      </x:c>
      <x:c r="C598" s="23" t="str">
        <x:v>Mienshao</x:v>
      </x:c>
      <x:c r="D598" s="23" t="str">
        <x:v>Combat</x:v>
      </x:c>
      <x:c r="E598" s="23" t="str"/>
      <x:c r="F598" s="23" t="str">
        <x:v>Ultra Rare</x:v>
      </x:c>
      <x:c r="G598" s="45" t="n">
        <x:v>75000</x:v>
      </x:c>
      <x:c r="H598" s="45" t="n">
        <x:f>IF(G598="","",ROUNDUP(G598*3,0))</x:f>
        <x:v>225000</x:v>
      </x:c>
      <x:c r="I598" s="41" t="n">
        <x:v>1</x:v>
      </x:c>
      <x:c r="J598" s="42" t="n">
        <x:v>65</x:v>
      </x:c>
      <x:c r="K598" s="42" t="n">
        <x:v>125</x:v>
      </x:c>
      <x:c r="L598" s="42" t="n">
        <x:v>60</x:v>
      </x:c>
      <x:c r="M598" s="42" t="n">
        <x:v>95</x:v>
      </x:c>
      <x:c r="N598" s="42" t="n">
        <x:v>60</x:v>
      </x:c>
      <x:c r="O598" s="42" t="n">
        <x:v>105</x:v>
      </x:c>
      <x:c r="P598" s="43" t="n">
        <x:f>IF(COUNT(J598:O598)=0,"",SUM(J598:O598))</x:f>
        <x:v>510</x:v>
      </x:c>
      <x:c r="Q598" s="23" t="str">
        <x:v>1 lignes de spawn</x:v>
      </x:c>
      <x:c r="R598" s="23" t="str">
        <x:v>Il utilise la fourrure de ses bras comme un fouet. Ses coups sont si rapides qu'ils deviennent invisibles à l'œil nu.</x:v>
      </x:c>
      <x:c r="S598" s="23" t="str"/>
      <x:c r="T598" s="23" t="str">
        <x:v>https://pixelmonmod.com/wiki/Mienshao</x:v>
      </x:c>
    </x:row>
    <x:row r="599" ht="54" customHeight="1">
      <x:c r="A599" s="27" t="n">
        <x:v>621</x:v>
      </x:c>
      <x:c r="B599" s="23" t="str">
        <x:v>Drakkarmin</x:v>
      </x:c>
      <x:c r="C599" s="23" t="str">
        <x:v>Druddigon</x:v>
      </x:c>
      <x:c r="D599" s="23" t="str">
        <x:v>Dragon</x:v>
      </x:c>
      <x:c r="E599" s="23" t="str"/>
      <x:c r="F599" s="23" t="str">
        <x:v>Ultra Rare</x:v>
      </x:c>
      <x:c r="G599" s="45" t="n">
        <x:v>75000</x:v>
      </x:c>
      <x:c r="H599" s="45" t="n">
        <x:f>IF(G599="","",ROUNDUP(G599*3,0))</x:f>
        <x:v>225000</x:v>
      </x:c>
      <x:c r="I599" s="41" t="n">
        <x:v>1</x:v>
      </x:c>
      <x:c r="J599" s="42" t="n">
        <x:v>77</x:v>
      </x:c>
      <x:c r="K599" s="42" t="n">
        <x:v>120</x:v>
      </x:c>
      <x:c r="L599" s="42" t="n">
        <x:v>90</x:v>
      </x:c>
      <x:c r="M599" s="42" t="n">
        <x:v>60</x:v>
      </x:c>
      <x:c r="N599" s="42" t="n">
        <x:v>90</x:v>
      </x:c>
      <x:c r="O599" s="42" t="n">
        <x:v>48</x:v>
      </x:c>
      <x:c r="P599" s="43" t="n">
        <x:f>IF(COUNT(J599:O599)=0,"",SUM(J599:O599))</x:f>
        <x:v>485</x:v>
      </x:c>
      <x:c r="Q599" s="23" t="str">
        <x:v>2 lignes de spawn</x:v>
      </x:c>
      <x:c r="R599" s="23" t="str">
        <x:v>Il fonce dans les grottes étroites en capturant sa proie avec ses griffes acérées. La peau de son visage est plus dure que la roche.</x:v>
      </x:c>
      <x:c r="S599" s="23" t="str"/>
      <x:c r="T599" s="23" t="str">
        <x:v>https://pixelmonmod.com/wiki/Druddigon</x:v>
      </x:c>
    </x:row>
    <x:row r="600" ht="54" customHeight="1">
      <x:c r="A600" s="27" t="n">
        <x:v>622</x:v>
      </x:c>
      <x:c r="B600" s="23" t="str">
        <x:v>Gringolem</x:v>
      </x:c>
      <x:c r="C600" s="23" t="str">
        <x:v>Golett</x:v>
      </x:c>
      <x:c r="D600" s="23" t="str">
        <x:v>Sol</x:v>
      </x:c>
      <x:c r="E600" s="23" t="str">
        <x:v>Spectre</x:v>
      </x:c>
      <x:c r="F600" s="23" t="str">
        <x:v>Uncommon / Rare</x:v>
      </x:c>
      <x:c r="G600" s="45" t="n">
        <x:v>12000</x:v>
      </x:c>
      <x:c r="H600" s="45" t="n">
        <x:f>IF(G600="","",ROUNDUP(G600*3,0))</x:f>
        <x:v>36000</x:v>
      </x:c>
      <x:c r="I600" s="41" t="n">
        <x:v>0.4</x:v>
      </x:c>
      <x:c r="J600" s="42" t="n">
        <x:v>59</x:v>
      </x:c>
      <x:c r="K600" s="42" t="n">
        <x:v>74</x:v>
      </x:c>
      <x:c r="L600" s="42" t="n">
        <x:v>50</x:v>
      </x:c>
      <x:c r="M600" s="42" t="n">
        <x:v>35</x:v>
      </x:c>
      <x:c r="N600" s="42" t="n">
        <x:v>50</x:v>
      </x:c>
      <x:c r="O600" s="42" t="n">
        <x:v>35</x:v>
      </x:c>
      <x:c r="P600" s="43" t="n">
        <x:f>IF(COUNT(J600:O600)=0,"",SUM(J600:O600))</x:f>
        <x:v>303</x:v>
      </x:c>
      <x:c r="Q600" s="23" t="str">
        <x:v>5 lignes de spawn</x:v>
      </x:c>
      <x:c r="R600" s="23" t="str">
        <x:v>L'énergie brûlant en lui lui permet de se mouvoir, mais personne n'a encore réussi à identifier cette énergie.</x:v>
      </x:c>
      <x:c r="S600" s="23" t="str">
        <x:v>Égalité de fréquence; prix provisoire basé sur le palier le plus élevé.</x:v>
      </x:c>
      <x:c r="T600" s="23" t="str">
        <x:v>https://pixelmonmod.com/wiki/Golett</x:v>
      </x:c>
    </x:row>
    <x:row r="601" ht="54" customHeight="1">
      <x:c r="A601" s="27" t="n">
        <x:v>623</x:v>
      </x:c>
      <x:c r="B601" s="23" t="str">
        <x:v>Golemastoc</x:v>
      </x:c>
      <x:c r="C601" s="23" t="str">
        <x:v>Golurk</x:v>
      </x:c>
      <x:c r="D601" s="23" t="str">
        <x:v>Sol</x:v>
      </x:c>
      <x:c r="E601" s="23" t="str">
        <x:v>Spectre</x:v>
      </x:c>
      <x:c r="F601" s="23" t="str">
        <x:v>Ultra Rare</x:v>
      </x:c>
      <x:c r="G601" s="45" t="n">
        <x:v>75000</x:v>
      </x:c>
      <x:c r="H601" s="45" t="n">
        <x:f>IF(G601="","",ROUNDUP(G601*3,0))</x:f>
        <x:v>225000</x:v>
      </x:c>
      <x:c r="I601" s="41" t="n">
        <x:v>0.75</x:v>
      </x:c>
      <x:c r="J601" s="42" t="n">
        <x:v>89</x:v>
      </x:c>
      <x:c r="K601" s="42" t="n">
        <x:v>124</x:v>
      </x:c>
      <x:c r="L601" s="42" t="n">
        <x:v>80</x:v>
      </x:c>
      <x:c r="M601" s="42" t="n">
        <x:v>55</x:v>
      </x:c>
      <x:c r="N601" s="42" t="n">
        <x:v>80</x:v>
      </x:c>
      <x:c r="O601" s="42" t="n">
        <x:v>55</x:v>
      </x:c>
      <x:c r="P601" s="43" t="n">
        <x:f>IF(COUNT(J601:O601)=0,"",SUM(J601:O601))</x:f>
        <x:v>483</x:v>
      </x:c>
      <x:c r="Q601" s="23" t="str">
        <x:v>4 lignes de spawn</x:v>
      </x:c>
      <x:c r="R601" s="23" t="str">
        <x:v>On dit que les Golemastoc furent chargés de protéger les humains et les Pokémon par les anciens qui les ont créés.</x:v>
      </x:c>
      <x:c r="S601" s="23" t="str"/>
      <x:c r="T601" s="23" t="str">
        <x:v>https://pixelmonmod.com/wiki/Golurk</x:v>
      </x:c>
    </x:row>
    <x:row r="602" ht="54" customHeight="1">
      <x:c r="A602" s="27" t="n">
        <x:v>624</x:v>
      </x:c>
      <x:c r="B602" s="23" t="str">
        <x:v>Scalpion</x:v>
      </x:c>
      <x:c r="C602" s="23" t="str">
        <x:v>Pawniard</x:v>
      </x:c>
      <x:c r="D602" s="23" t="str">
        <x:v>Ténèbres</x:v>
      </x:c>
      <x:c r="E602" s="23" t="str">
        <x:v>Acier</x:v>
      </x:c>
      <x:c r="F602" s="23" t="str">
        <x:v>Uncommon</x:v>
      </x:c>
      <x:c r="G602" s="45" t="n">
        <x:v>5000</x:v>
      </x:c>
      <x:c r="H602" s="45" t="n">
        <x:f>IF(G602="","",ROUNDUP(G602*3,0))</x:f>
        <x:v>15000</x:v>
      </x:c>
      <x:c r="I602" s="41" t="n">
        <x:v>1</x:v>
      </x:c>
      <x:c r="J602" s="42" t="n">
        <x:v>45</x:v>
      </x:c>
      <x:c r="K602" s="42" t="n">
        <x:v>85</x:v>
      </x:c>
      <x:c r="L602" s="42" t="n">
        <x:v>70</x:v>
      </x:c>
      <x:c r="M602" s="42" t="n">
        <x:v>40</x:v>
      </x:c>
      <x:c r="N602" s="42" t="n">
        <x:v>40</x:v>
      </x:c>
      <x:c r="O602" s="42" t="n">
        <x:v>60</x:v>
      </x:c>
      <x:c r="P602" s="43" t="n">
        <x:f>IF(COUNT(J602:O602)=0,"",SUM(J602:O602))</x:f>
        <x:v>340</x:v>
      </x:c>
      <x:c r="Q602" s="23" t="str">
        <x:v>5 lignes de spawn</x:v>
      </x:c>
      <x:c r="R602" s="23" t="str">
        <x:v>Tout son corps est composé de lames. Si le combat les émousse, il les aiguise sur les pierres au bord des rivières.</x:v>
      </x:c>
      <x:c r="S602" s="23" t="str"/>
      <x:c r="T602" s="23" t="str">
        <x:v>https://pixelmonmod.com/wiki/Pawniard</x:v>
      </x:c>
    </x:row>
    <x:row r="603" ht="54" customHeight="1">
      <x:c r="A603" s="27" t="n">
        <x:v>625</x:v>
      </x:c>
      <x:c r="B603" s="23" t="str">
        <x:v>Scalproie</x:v>
      </x:c>
      <x:c r="C603" s="23" t="str">
        <x:v>Bisharp</x:v>
      </x:c>
      <x:c r="D603" s="23" t="str">
        <x:v>Ténèbres</x:v>
      </x:c>
      <x:c r="E603" s="23" t="str">
        <x:v>Acier</x:v>
      </x:c>
      <x:c r="F603" s="23" t="str">
        <x:v>Ultra Rare</x:v>
      </x:c>
      <x:c r="G603" s="45" t="n">
        <x:v>75000</x:v>
      </x:c>
      <x:c r="H603" s="45" t="n">
        <x:f>IF(G603="","",ROUNDUP(G603*3,0))</x:f>
        <x:v>225000</x:v>
      </x:c>
      <x:c r="I603" s="41" t="n">
        <x:v>0.833</x:v>
      </x:c>
      <x:c r="J603" s="42" t="n">
        <x:v>65</x:v>
      </x:c>
      <x:c r="K603" s="42" t="n">
        <x:v>125</x:v>
      </x:c>
      <x:c r="L603" s="42" t="n">
        <x:v>100</x:v>
      </x:c>
      <x:c r="M603" s="42" t="n">
        <x:v>60</x:v>
      </x:c>
      <x:c r="N603" s="42" t="n">
        <x:v>70</x:v>
      </x:c>
      <x:c r="O603" s="42" t="n">
        <x:v>70</x:v>
      </x:c>
      <x:c r="P603" s="43" t="n">
        <x:f>IF(COUNT(J603:O603)=0,"",SUM(J603:O603))</x:f>
        <x:v>490</x:v>
      </x:c>
      <x:c r="Q603" s="23" t="str">
        <x:v>6 lignes de spawn</x:v>
      </x:c>
      <x:c r="R603" s="23" t="str">
        <x:v>Ce Pokémon impitoyable dirige un groupe de Scalpion pour traquer leur proie jusqu'à ce qu'elle soit incapable de bouger. Il s'avance ensuite pour l'achever.</x:v>
      </x:c>
      <x:c r="S603" s="23" t="str"/>
      <x:c r="T603" s="23" t="str">
        <x:v>https://pixelmonmod.com/wiki/Bisharp</x:v>
      </x:c>
    </x:row>
    <x:row r="604" ht="54" customHeight="1">
      <x:c r="A604" s="27" t="n">
        <x:v>626</x:v>
      </x:c>
      <x:c r="B604" s="23" t="str">
        <x:v>Frison</x:v>
      </x:c>
      <x:c r="C604" s="23" t="str">
        <x:v>Bouffalant</x:v>
      </x:c>
      <x:c r="D604" s="23" t="str">
        <x:v>Normal</x:v>
      </x:c>
      <x:c r="E604" s="23" t="str"/>
      <x:c r="F604" s="23" t="str">
        <x:v>Rare</x:v>
      </x:c>
      <x:c r="G604" s="45" t="n">
        <x:v>12000</x:v>
      </x:c>
      <x:c r="H604" s="45" t="n">
        <x:f>IF(G604="","",ROUNDUP(G604*3,0))</x:f>
        <x:v>36000</x:v>
      </x:c>
      <x:c r="I604" s="41" t="n">
        <x:v>1</x:v>
      </x:c>
      <x:c r="J604" s="42" t="n">
        <x:v>95</x:v>
      </x:c>
      <x:c r="K604" s="42" t="n">
        <x:v>110</x:v>
      </x:c>
      <x:c r="L604" s="42" t="n">
        <x:v>95</x:v>
      </x:c>
      <x:c r="M604" s="42" t="n">
        <x:v>40</x:v>
      </x:c>
      <x:c r="N604" s="42" t="n">
        <x:v>95</x:v>
      </x:c>
      <x:c r="O604" s="42" t="n">
        <x:v>55</x:v>
      </x:c>
      <x:c r="P604" s="43" t="n">
        <x:f>IF(COUNT(J604:O604)=0,"",SUM(J604:O604))</x:f>
        <x:v>490</x:v>
      </x:c>
      <x:c r="Q604" s="23" t="str">
        <x:v>2 lignes de spawn</x:v>
      </x:c>
      <x:c r="R604" s="23" t="str">
        <x:v>Ils chargent sauvagement et percutent tout. Leurs coups de tête ont assez de force pour faire dérailler un train.</x:v>
      </x:c>
      <x:c r="S604" s="23" t="str"/>
      <x:c r="T604" s="23" t="str">
        <x:v>https://pixelmonmod.com/wiki/Bouffalant</x:v>
      </x:c>
    </x:row>
    <x:row r="605" ht="54" customHeight="1">
      <x:c r="A605" s="27" t="n">
        <x:v>627</x:v>
      </x:c>
      <x:c r="B605" s="23" t="str">
        <x:v>Furaiglon</x:v>
      </x:c>
      <x:c r="C605" s="23" t="str">
        <x:v>Rufflet</x:v>
      </x:c>
      <x:c r="D605" s="23" t="str">
        <x:v>Normal</x:v>
      </x:c>
      <x:c r="E605" s="23" t="str">
        <x:v>Vol</x:v>
      </x:c>
      <x:c r="F605" s="23" t="str">
        <x:v>Uncommon</x:v>
      </x:c>
      <x:c r="G605" s="45" t="n">
        <x:v>5000</x:v>
      </x:c>
      <x:c r="H605" s="45" t="n">
        <x:f>IF(G605="","",ROUNDUP(G605*3,0))</x:f>
        <x:v>15000</x:v>
      </x:c>
      <x:c r="I605" s="41" t="n">
        <x:v>1</x:v>
      </x:c>
      <x:c r="J605" s="42" t="n">
        <x:v>70</x:v>
      </x:c>
      <x:c r="K605" s="42" t="n">
        <x:v>83</x:v>
      </x:c>
      <x:c r="L605" s="42" t="n">
        <x:v>50</x:v>
      </x:c>
      <x:c r="M605" s="42" t="n">
        <x:v>37</x:v>
      </x:c>
      <x:c r="N605" s="42" t="n">
        <x:v>50</x:v>
      </x:c>
      <x:c r="O605" s="42" t="n">
        <x:v>60</x:v>
      </x:c>
      <x:c r="P605" s="43" t="n">
        <x:f>IF(COUNT(J605:O605)=0,"",SUM(J605:O605))</x:f>
        <x:v>350</x:v>
      </x:c>
      <x:c r="Q605" s="23" t="str">
        <x:v>9 lignes de spawn</x:v>
      </x:c>
      <x:c r="R605" s="23" t="str">
        <x:v>Ils écrasent les Baies avec leurs serres. Ils affrontent bravement tout adversaire, quelle que soit sa force.</x:v>
      </x:c>
      <x:c r="S605" s="23" t="str"/>
      <x:c r="T605" s="23" t="str">
        <x:v>https://pixelmonmod.com/wiki/Rufflet</x:v>
      </x:c>
    </x:row>
    <x:row r="606" ht="54" customHeight="1">
      <x:c r="A606" s="27" t="n">
        <x:v>628</x:v>
      </x:c>
      <x:c r="B606" s="23" t="str">
        <x:v>Gueriaigle</x:v>
      </x:c>
      <x:c r="C606" s="23" t="str">
        <x:v>Braviary</x:v>
      </x:c>
      <x:c r="D606" s="23" t="str">
        <x:v>Normal</x:v>
      </x:c>
      <x:c r="E606" s="23" t="str">
        <x:v>Vol</x:v>
      </x:c>
      <x:c r="F606" s="23" t="str">
        <x:v>Ultra Rare</x:v>
      </x:c>
      <x:c r="G606" s="45" t="n">
        <x:v>75000</x:v>
      </x:c>
      <x:c r="H606" s="45" t="n">
        <x:f>IF(G606="","",ROUNDUP(G606*3,0))</x:f>
        <x:v>225000</x:v>
      </x:c>
      <x:c r="I606" s="41" t="n">
        <x:v>0.875</x:v>
      </x:c>
      <x:c r="J606" s="42" t="n">
        <x:v>100</x:v>
      </x:c>
      <x:c r="K606" s="42" t="n">
        <x:v>123</x:v>
      </x:c>
      <x:c r="L606" s="42" t="n">
        <x:v>75</x:v>
      </x:c>
      <x:c r="M606" s="42" t="n">
        <x:v>57</x:v>
      </x:c>
      <x:c r="N606" s="42" t="n">
        <x:v>75</x:v>
      </x:c>
      <x:c r="O606" s="42" t="n">
        <x:v>80</x:v>
      </x:c>
      <x:c r="P606" s="43" t="n">
        <x:f>IF(COUNT(J606:O606)=0,"",SUM(J606:O606))</x:f>
        <x:v>510</x:v>
      </x:c>
      <x:c r="Q606" s="23" t="str">
        <x:v>8 lignes de spawn</x:v>
      </x:c>
      <x:c r="R606" s="23" t="str">
        <x:v>Pour ses amis, ce courageux guerrier des cieux se battra sans relâche, même blessé.</x:v>
      </x:c>
      <x:c r="S606" s="23" t="str"/>
      <x:c r="T606" s="23" t="str">
        <x:v>https://pixelmonmod.com/wiki/Braviary</x:v>
      </x:c>
    </x:row>
    <x:row r="607" ht="54" customHeight="1">
      <x:c r="A607" s="27" t="n">
        <x:v>629</x:v>
      </x:c>
      <x:c r="B607" s="23" t="str">
        <x:v>Vostourno</x:v>
      </x:c>
      <x:c r="C607" s="23" t="str">
        <x:v>Vullaby</x:v>
      </x:c>
      <x:c r="D607" s="23" t="str">
        <x:v>Ténèbres</x:v>
      </x:c>
      <x:c r="E607" s="23" t="str">
        <x:v>Vol</x:v>
      </x:c>
      <x:c r="F607" s="23" t="str">
        <x:v>Uncommon</x:v>
      </x:c>
      <x:c r="G607" s="45" t="n">
        <x:v>5000</x:v>
      </x:c>
      <x:c r="H607" s="45" t="n">
        <x:f>IF(G607="","",ROUNDUP(G607*3,0))</x:f>
        <x:v>15000</x:v>
      </x:c>
      <x:c r="I607" s="41" t="n">
        <x:v>1</x:v>
      </x:c>
      <x:c r="J607" s="42" t="n">
        <x:v>70</x:v>
      </x:c>
      <x:c r="K607" s="42" t="n">
        <x:v>55</x:v>
      </x:c>
      <x:c r="L607" s="42" t="n">
        <x:v>75</x:v>
      </x:c>
      <x:c r="M607" s="42" t="n">
        <x:v>45</x:v>
      </x:c>
      <x:c r="N607" s="42" t="n">
        <x:v>65</x:v>
      </x:c>
      <x:c r="O607" s="42" t="n">
        <x:v>60</x:v>
      </x:c>
      <x:c r="P607" s="43" t="n">
        <x:f>IF(COUNT(J607:O607)=0,"",SUM(J607:O607))</x:f>
        <x:v>370</x:v>
      </x:c>
      <x:c r="Q607" s="23" t="str">
        <x:v>8 lignes de spawn</x:v>
      </x:c>
      <x:c r="R607" s="23" t="str">
        <x:v>Ses ailes sont trop petites pour lui permettre de voler. À l'approche de son évolution, il se débarrasse des os qu'il portait comme protection.</x:v>
      </x:c>
      <x:c r="S607" s="23" t="str"/>
      <x:c r="T607" s="23" t="str">
        <x:v>https://pixelmonmod.com/wiki/Vullaby</x:v>
      </x:c>
    </x:row>
    <x:row r="608" ht="54" customHeight="1">
      <x:c r="A608" s="27" t="n">
        <x:v>630</x:v>
      </x:c>
      <x:c r="B608" s="23" t="str">
        <x:v>Vaututrice</x:v>
      </x:c>
      <x:c r="C608" s="23" t="str">
        <x:v>Mandibuzz</x:v>
      </x:c>
      <x:c r="D608" s="23" t="str">
        <x:v>Ténèbres</x:v>
      </x:c>
      <x:c r="E608" s="23" t="str">
        <x:v>Vol</x:v>
      </x:c>
      <x:c r="F608" s="23" t="str">
        <x:v>Ultra Rare</x:v>
      </x:c>
      <x:c r="G608" s="45" t="n">
        <x:v>75000</x:v>
      </x:c>
      <x:c r="H608" s="45" t="n">
        <x:f>IF(G608="","",ROUNDUP(G608*3,0))</x:f>
        <x:v>225000</x:v>
      </x:c>
      <x:c r="I608" s="41" t="n">
        <x:v>0.75</x:v>
      </x:c>
      <x:c r="J608" s="42" t="n">
        <x:v>110</x:v>
      </x:c>
      <x:c r="K608" s="42" t="n">
        <x:v>65</x:v>
      </x:c>
      <x:c r="L608" s="42" t="n">
        <x:v>105</x:v>
      </x:c>
      <x:c r="M608" s="42" t="n">
        <x:v>55</x:v>
      </x:c>
      <x:c r="N608" s="42" t="n">
        <x:v>95</x:v>
      </x:c>
      <x:c r="O608" s="42" t="n">
        <x:v>80</x:v>
      </x:c>
      <x:c r="P608" s="43" t="n">
        <x:f>IF(COUNT(J608:O608)=0,"",SUM(J608:O608))</x:f>
        <x:v>510</x:v>
      </x:c>
      <x:c r="Q608" s="23" t="str">
        <x:v>4 lignes de spawn</x:v>
      </x:c>
      <x:c r="R608" s="23" t="str">
        <x:v>Elles volent en cercles dans le ciel. Lorsqu'elles repèrent une proie, elles l'attaquent et la ramènent aisément à leur nid.</x:v>
      </x:c>
      <x:c r="S608" s="23" t="str"/>
      <x:c r="T608" s="23" t="str">
        <x:v>https://pixelmonmod.com/wiki/Mandibuzz</x:v>
      </x:c>
    </x:row>
    <x:row r="609" ht="54" customHeight="1">
      <x:c r="A609" s="27" t="n">
        <x:v>631</x:v>
      </x:c>
      <x:c r="B609" s="23" t="str">
        <x:v>Aflamanoir</x:v>
      </x:c>
      <x:c r="C609" s="23" t="str">
        <x:v>Heatmor</x:v>
      </x:c>
      <x:c r="D609" s="23" t="str">
        <x:v>Feu</x:v>
      </x:c>
      <x:c r="E609" s="23" t="str"/>
      <x:c r="F609" s="23" t="str">
        <x:v>Rare</x:v>
      </x:c>
      <x:c r="G609" s="45" t="n">
        <x:v>12000</x:v>
      </x:c>
      <x:c r="H609" s="45" t="n">
        <x:f>IF(G609="","",ROUNDUP(G609*3,0))</x:f>
        <x:v>36000</x:v>
      </x:c>
      <x:c r="I609" s="41" t="n">
        <x:v>1</x:v>
      </x:c>
      <x:c r="J609" s="42" t="n">
        <x:v>85</x:v>
      </x:c>
      <x:c r="K609" s="42" t="n">
        <x:v>97</x:v>
      </x:c>
      <x:c r="L609" s="42" t="n">
        <x:v>66</x:v>
      </x:c>
      <x:c r="M609" s="42" t="n">
        <x:v>105</x:v>
      </x:c>
      <x:c r="N609" s="42" t="n">
        <x:v>66</x:v>
      </x:c>
      <x:c r="O609" s="42" t="n">
        <x:v>65</x:v>
      </x:c>
      <x:c r="P609" s="43" t="n">
        <x:f>IF(COUNT(J609:O609)=0,"",SUM(J609:O609))</x:f>
        <x:v>484</x:v>
      </x:c>
      <x:c r="Q609" s="23" t="str">
        <x:v>2 lignes de spawn</x:v>
      </x:c>
      <x:c r="R609" s="23" t="str">
        <x:v>Grâce à leurs langues enflammées et brûlantes, ils percent les corps d'Insectefer et dévorent leurs entrailles.</x:v>
      </x:c>
      <x:c r="S609" s="23" t="str"/>
      <x:c r="T609" s="23" t="str">
        <x:v>https://pixelmonmod.com/wiki/Heatmor</x:v>
      </x:c>
    </x:row>
    <x:row r="610" ht="54" customHeight="1">
      <x:c r="A610" s="27" t="n">
        <x:v>632</x:v>
      </x:c>
      <x:c r="B610" s="23" t="str">
        <x:v>Fermite</x:v>
      </x:c>
      <x:c r="C610" s="23" t="str">
        <x:v>Durant</x:v>
      </x:c>
      <x:c r="D610" s="23" t="str">
        <x:v>Insecte</x:v>
      </x:c>
      <x:c r="E610" s="23" t="str">
        <x:v>Acier</x:v>
      </x:c>
      <x:c r="F610" s="23" t="str">
        <x:v>Uncommon</x:v>
      </x:c>
      <x:c r="G610" s="45" t="n">
        <x:v>5000</x:v>
      </x:c>
      <x:c r="H610" s="45" t="n">
        <x:f>IF(G610="","",ROUNDUP(G610*3,0))</x:f>
        <x:v>15000</x:v>
      </x:c>
      <x:c r="I610" s="41" t="n">
        <x:v>0.625</x:v>
      </x:c>
      <x:c r="J610" s="42" t="n">
        <x:v>58</x:v>
      </x:c>
      <x:c r="K610" s="42" t="n">
        <x:v>109</x:v>
      </x:c>
      <x:c r="L610" s="42" t="n">
        <x:v>112</x:v>
      </x:c>
      <x:c r="M610" s="42" t="n">
        <x:v>48</x:v>
      </x:c>
      <x:c r="N610" s="42" t="n">
        <x:v>48</x:v>
      </x:c>
      <x:c r="O610" s="42" t="n">
        <x:v>109</x:v>
      </x:c>
      <x:c r="P610" s="43" t="n">
        <x:f>IF(COUNT(J610:O610)=0,"",SUM(J610:O610))</x:f>
        <x:v>484</x:v>
      </x:c>
      <x:c r="Q610" s="23" t="str">
        <x:v>8 lignes de spawn</x:v>
      </x:c>
      <x:c r="R610" s="23" t="str">
        <x:v>Chaque individu joue un rôle différent pour repousser Aflamanoir, leur prédateur naturel, loin de leur colonie.</x:v>
      </x:c>
      <x:c r="S610" s="23" t="str"/>
      <x:c r="T610" s="23" t="str">
        <x:v>https://pixelmonmod.com/wiki/Durant</x:v>
      </x:c>
    </x:row>
    <x:row r="611" ht="54" customHeight="1">
      <x:c r="A611" s="27" t="n">
        <x:v>633</x:v>
      </x:c>
      <x:c r="B611" s="23" t="str">
        <x:v>Solochi</x:v>
      </x:c>
      <x:c r="C611" s="23" t="str">
        <x:v>Deino</x:v>
      </x:c>
      <x:c r="D611" s="23" t="str">
        <x:v>Ténèbres</x:v>
      </x:c>
      <x:c r="E611" s="23" t="str">
        <x:v>Dragon</x:v>
      </x:c>
      <x:c r="F611" s="23" t="str">
        <x:v>Rare</x:v>
      </x:c>
      <x:c r="G611" s="45" t="n">
        <x:v>12000</x:v>
      </x:c>
      <x:c r="H611" s="45" t="n">
        <x:f>IF(G611="","",ROUNDUP(G611*3,0))</x:f>
        <x:v>36000</x:v>
      </x:c>
      <x:c r="I611" s="41" t="n">
        <x:v>0.75</x:v>
      </x:c>
      <x:c r="J611" s="42" t="n">
        <x:v>52</x:v>
      </x:c>
      <x:c r="K611" s="42" t="n">
        <x:v>65</x:v>
      </x:c>
      <x:c r="L611" s="42" t="n">
        <x:v>50</x:v>
      </x:c>
      <x:c r="M611" s="42" t="n">
        <x:v>45</x:v>
      </x:c>
      <x:c r="N611" s="42" t="n">
        <x:v>50</x:v>
      </x:c>
      <x:c r="O611" s="42" t="n">
        <x:v>38</x:v>
      </x:c>
      <x:c r="P611" s="43" t="n">
        <x:f>IF(COUNT(J611:O611)=0,"",SUM(J611:O611))</x:f>
        <x:v>300</x:v>
      </x:c>
      <x:c r="Q611" s="23" t="str">
        <x:v>4 lignes de spawn</x:v>
      </x:c>
      <x:c r="R611" s="23" t="str">
        <x:v>Ils ne voient rien, alors ils mordent pour découvrir leur environnement. Leur corps est couvert de blessures.</x:v>
      </x:c>
      <x:c r="S611" s="23" t="str"/>
      <x:c r="T611" s="23" t="str">
        <x:v>https://pixelmonmod.com/wiki/Deino</x:v>
      </x:c>
    </x:row>
    <x:row r="612" ht="54" customHeight="1">
      <x:c r="A612" s="27" t="n">
        <x:v>634</x:v>
      </x:c>
      <x:c r="B612" s="23" t="str">
        <x:v>Diamat</x:v>
      </x:c>
      <x:c r="C612" s="23" t="str">
        <x:v>Zweilous</x:v>
      </x:c>
      <x:c r="D612" s="23" t="str">
        <x:v>Ténèbres</x:v>
      </x:c>
      <x:c r="E612" s="23" t="str">
        <x:v>Dragon</x:v>
      </x:c>
      <x:c r="F612" s="23" t="str">
        <x:v>Ultra Rare</x:v>
      </x:c>
      <x:c r="G612" s="45" t="n">
        <x:v>75000</x:v>
      </x:c>
      <x:c r="H612" s="45" t="n">
        <x:f>IF(G612="","",ROUNDUP(G612*3,0))</x:f>
        <x:v>225000</x:v>
      </x:c>
      <x:c r="I612" s="41" t="n">
        <x:v>1</x:v>
      </x:c>
      <x:c r="J612" s="42" t="n">
        <x:v>72</x:v>
      </x:c>
      <x:c r="K612" s="42" t="n">
        <x:v>85</x:v>
      </x:c>
      <x:c r="L612" s="42" t="n">
        <x:v>70</x:v>
      </x:c>
      <x:c r="M612" s="42" t="n">
        <x:v>65</x:v>
      </x:c>
      <x:c r="N612" s="42" t="n">
        <x:v>70</x:v>
      </x:c>
      <x:c r="O612" s="42" t="n">
        <x:v>58</x:v>
      </x:c>
      <x:c r="P612" s="43" t="n">
        <x:f>IF(COUNT(J612:O612)=0,"",SUM(J612:O612))</x:f>
        <x:v>420</x:v>
      </x:c>
      <x:c r="Q612" s="23" t="str">
        <x:v>4 lignes de spawn</x:v>
      </x:c>
      <x:c r="R612" s="23" t="str">
        <x:v>Ses deux têtes ne s'entendent pas. Celle qui mange le plus prend le rôle de leader.</x:v>
      </x:c>
      <x:c r="S612" s="23" t="str"/>
      <x:c r="T612" s="23" t="str">
        <x:v>https://pixelmonmod.com/wiki/Zweilous</x:v>
      </x:c>
    </x:row>
    <x:row r="613" ht="54" customHeight="1">
      <x:c r="A613" s="27" t="n">
        <x:v>635</x:v>
      </x:c>
      <x:c r="B613" s="23" t="str">
        <x:v>Trioxhydre</x:v>
      </x:c>
      <x:c r="C613" s="23" t="str">
        <x:v>Hydreigon</x:v>
      </x:c>
      <x:c r="D613" s="23" t="str">
        <x:v>Ténèbres</x:v>
      </x:c>
      <x:c r="E613" s="23" t="str">
        <x:v>Dragon</x:v>
      </x:c>
      <x:c r="F613" s="23" t="str">
        <x:v>Ultra Rare</x:v>
      </x:c>
      <x:c r="G613" s="45" t="n">
        <x:v>75000</x:v>
      </x:c>
      <x:c r="H613" s="45" t="n">
        <x:f>IF(G613="","",ROUNDUP(G613*3,0))</x:f>
        <x:v>225000</x:v>
      </x:c>
      <x:c r="I613" s="41" t="n">
        <x:v>1</x:v>
      </x:c>
      <x:c r="J613" s="42" t="n">
        <x:v>92</x:v>
      </x:c>
      <x:c r="K613" s="42" t="n">
        <x:v>105</x:v>
      </x:c>
      <x:c r="L613" s="42" t="n">
        <x:v>90</x:v>
      </x:c>
      <x:c r="M613" s="42" t="n">
        <x:v>125</x:v>
      </x:c>
      <x:c r="N613" s="42" t="n">
        <x:v>90</x:v>
      </x:c>
      <x:c r="O613" s="42" t="n">
        <x:v>98</x:v>
      </x:c>
      <x:c r="P613" s="43" t="n">
        <x:f>IF(COUNT(J613:O613)=0,"",SUM(J613:O613))</x:f>
        <x:v>600</x:v>
      </x:c>
      <x:c r="Q613" s="23" t="str">
        <x:v>4 lignes de spawn</x:v>
      </x:c>
      <x:c r="R613" s="23" t="str">
        <x:v>Les têtes de ses bras n'ont pas de cerveau. Il utilise ses trois têtes pour dévorer et détruire tout ce qui l'entoure.</x:v>
      </x:c>
      <x:c r="S613" s="23" t="str"/>
      <x:c r="T613" s="23" t="str">
        <x:v>https://pixelmonmod.com/wiki/Hydreigon</x:v>
      </x:c>
    </x:row>
    <x:row r="614" ht="54" customHeight="1">
      <x:c r="A614" s="27" t="n">
        <x:v>636</x:v>
      </x:c>
      <x:c r="B614" s="23" t="str">
        <x:v>Pyronille</x:v>
      </x:c>
      <x:c r="C614" s="23" t="str">
        <x:v>Larvesta</x:v>
      </x:c>
      <x:c r="D614" s="23" t="str">
        <x:v>Insecte</x:v>
      </x:c>
      <x:c r="E614" s="23" t="str">
        <x:v>Feu</x:v>
      </x:c>
      <x:c r="F614" s="23" t="str">
        <x:v>Rare</x:v>
      </x:c>
      <x:c r="G614" s="45" t="n">
        <x:v>12000</x:v>
      </x:c>
      <x:c r="H614" s="45" t="n">
        <x:f>IF(G614="","",ROUNDUP(G614*3,0))</x:f>
        <x:v>36000</x:v>
      </x:c>
      <x:c r="I614" s="41" t="n">
        <x:v>0.667</x:v>
      </x:c>
      <x:c r="J614" s="42" t="n">
        <x:v>55</x:v>
      </x:c>
      <x:c r="K614" s="42" t="n">
        <x:v>85</x:v>
      </x:c>
      <x:c r="L614" s="42" t="n">
        <x:v>55</x:v>
      </x:c>
      <x:c r="M614" s="42" t="n">
        <x:v>50</x:v>
      </x:c>
      <x:c r="N614" s="42" t="n">
        <x:v>55</x:v>
      </x:c>
      <x:c r="O614" s="42" t="n">
        <x:v>60</x:v>
      </x:c>
      <x:c r="P614" s="43" t="n">
        <x:f>IF(COUNT(J614:O614)=0,"",SUM(J614:O614))</x:f>
        <x:v>360</x:v>
      </x:c>
      <x:c r="Q614" s="23" t="str">
        <x:v>3 lignes de spawn</x:v>
      </x:c>
      <x:c r="R614" s="23" t="str">
        <x:v>On dit qu'il est né du soleil. Il crache des flammes par ses cornes et s'enferme dans un cocon de feu quand il évolue.</x:v>
      </x:c>
      <x:c r="S614" s="23" t="str"/>
      <x:c r="T614" s="23" t="str">
        <x:v>https://pixelmonmod.com/wiki/Larvesta</x:v>
      </x:c>
    </x:row>
    <x:row r="615" ht="54" customHeight="1">
      <x:c r="A615" s="27" t="n">
        <x:v>637</x:v>
      </x:c>
      <x:c r="B615" s="23" t="str">
        <x:v>Pyrax</x:v>
      </x:c>
      <x:c r="C615" s="23" t="str">
        <x:v>Volcarona</x:v>
      </x:c>
      <x:c r="D615" s="23" t="str">
        <x:v>Insecte</x:v>
      </x:c>
      <x:c r="E615" s="23" t="str">
        <x:v>Feu</x:v>
      </x:c>
      <x:c r="F615" s="23" t="str">
        <x:v>Ultra Rare</x:v>
      </x:c>
      <x:c r="G615" s="45" t="n">
        <x:v>75000</x:v>
      </x:c>
      <x:c r="H615" s="45" t="n">
        <x:f>IF(G615="","",ROUNDUP(G615*3,0))</x:f>
        <x:v>225000</x:v>
      </x:c>
      <x:c r="I615" s="41" t="n">
        <x:v>1</x:v>
      </x:c>
      <x:c r="J615" s="42" t="n">
        <x:v>85</x:v>
      </x:c>
      <x:c r="K615" s="42" t="n">
        <x:v>60</x:v>
      </x:c>
      <x:c r="L615" s="42" t="n">
        <x:v>65</x:v>
      </x:c>
      <x:c r="M615" s="42" t="n">
        <x:v>135</x:v>
      </x:c>
      <x:c r="N615" s="42" t="n">
        <x:v>105</x:v>
      </x:c>
      <x:c r="O615" s="42" t="n">
        <x:v>100</x:v>
      </x:c>
      <x:c r="P615" s="43" t="n">
        <x:f>IF(COUNT(J615:O615)=0,"",SUM(J615:O615))</x:f>
        <x:v>550</x:v>
      </x:c>
      <x:c r="Q615" s="23" t="str">
        <x:v>4 lignes de spawn</x:v>
      </x:c>
      <x:c r="R615" s="23" t="str">
        <x:v>Une mer de flammes engloutit les alentours de leurs combats, car ils utilisent leurs six ailes pour disperser leurs écailles incandescentes.</x:v>
      </x:c>
      <x:c r="S615" s="23" t="str"/>
      <x:c r="T615" s="23" t="str">
        <x:v>https://pixelmonmod.com/wiki/Volcarona</x:v>
      </x:c>
    </x:row>
    <x:row r="616" ht="54" customHeight="1">
      <x:c r="A616" s="27" t="n">
        <x:v>647</x:v>
      </x:c>
      <x:c r="B616" s="23" t="str">
        <x:v>Keldeo</x:v>
      </x:c>
      <x:c r="C616" s="23" t="str">
        <x:v>Keldeo</x:v>
      </x:c>
      <x:c r="D616" s="23" t="str">
        <x:v>Eau</x:v>
      </x:c>
      <x:c r="E616" s="23" t="str">
        <x:v>Combat</x:v>
      </x:c>
      <x:c r="F616" s="23" t="str">
        <x:v>Non classé</x:v>
      </x:c>
      <x:c r="G616" s="45"/>
      <x:c r="H616" s="45" t="str">
        <x:f>IF(G616="","",ROUNDUP(G616*3,0))</x:f>
      </x:c>
      <x:c r="I616" s="41"/>
      <x:c r="J616" s="42" t="n">
        <x:v>91</x:v>
      </x:c>
      <x:c r="K616" s="42" t="n">
        <x:v>72</x:v>
      </x:c>
      <x:c r="L616" s="42" t="n">
        <x:v>90</x:v>
      </x:c>
      <x:c r="M616" s="42" t="n">
        <x:v>129</x:v>
      </x:c>
      <x:c r="N616" s="42" t="n">
        <x:v>90</x:v>
      </x:c>
      <x:c r="O616" s="42" t="n">
        <x:v>108</x:v>
      </x:c>
      <x:c r="P616" s="43" t="n">
        <x:f>IF(COUNT(J616:O616)=0,"",SUM(J616:O616))</x:f>
        <x:v>580</x:v>
      </x:c>
      <x:c r="Q616" s="23" t="str">
        <x:v>Aucune ligne classée</x:v>
      </x:c>
      <x:c r="R616" s="23" t="str">
        <x:v>Il traverse le monde en courant à la surface des océans et des rivières. On peut l'apercevoir près des points d'eau les plus pittoresques.</x:v>
      </x:c>
      <x:c r="S616" s="23" t="str">
        <x:v>Fabuleux : vente et prix à valider.</x:v>
      </x:c>
      <x:c r="T616" s="23" t="str">
        <x:v>https://pixelmonmod.com/wiki/Keldeo</x:v>
      </x:c>
    </x:row>
    <x:row r="617" ht="54" customHeight="1">
      <x:c r="A617" s="27" t="n">
        <x:v>648</x:v>
      </x:c>
      <x:c r="B617" s="23" t="str">
        <x:v>Meloetta</x:v>
      </x:c>
      <x:c r="C617" s="23" t="str">
        <x:v>Meloetta</x:v>
      </x:c>
      <x:c r="D617" s="23" t="str">
        <x:v>Normal</x:v>
      </x:c>
      <x:c r="E617" s="23" t="str">
        <x:v>Psy</x:v>
      </x:c>
      <x:c r="F617" s="23" t="str">
        <x:v>Non classé</x:v>
      </x:c>
      <x:c r="G617" s="45"/>
      <x:c r="H617" s="45" t="str">
        <x:f>IF(G617="","",ROUNDUP(G617*3,0))</x:f>
      </x:c>
      <x:c r="I617" s="41"/>
      <x:c r="J617" s="42" t="n">
        <x:v>100</x:v>
      </x:c>
      <x:c r="K617" s="42" t="n">
        <x:v>77</x:v>
      </x:c>
      <x:c r="L617" s="42" t="n">
        <x:v>77</x:v>
      </x:c>
      <x:c r="M617" s="42" t="n">
        <x:v>128</x:v>
      </x:c>
      <x:c r="N617" s="42" t="n">
        <x:v>128</x:v>
      </x:c>
      <x:c r="O617" s="42" t="n">
        <x:v>90</x:v>
      </x:c>
      <x:c r="P617" s="43" t="n">
        <x:f>IF(COUNT(J617:O617)=0,"",SUM(J617:O617))</x:f>
        <x:v>600</x:v>
      </x:c>
      <x:c r="Q617" s="23" t="str">
        <x:v>Aucune ligne classée</x:v>
      </x:c>
      <x:c r="R617" s="23" t="str">
        <x:v>Les mélodies chantées par Meloetta ont le pouvoir de rendre les Pokémon qui les entendent heureux ou tristes.</x:v>
      </x:c>
      <x:c r="S617" s="23" t="str">
        <x:v>Fabuleux : vente et prix à valider.</x:v>
      </x:c>
      <x:c r="T617" s="23" t="str">
        <x:v>https://pixelmonmod.com/wiki/Meloetta</x:v>
      </x:c>
    </x:row>
    <x:row r="618" ht="54" customHeight="1">
      <x:c r="A618" s="27" t="n">
        <x:v>649</x:v>
      </x:c>
      <x:c r="B618" s="23" t="str">
        <x:v>Genesect</x:v>
      </x:c>
      <x:c r="C618" s="23" t="str">
        <x:v>Genesect</x:v>
      </x:c>
      <x:c r="D618" s="23" t="str">
        <x:v>Insecte</x:v>
      </x:c>
      <x:c r="E618" s="23" t="str">
        <x:v>Acier</x:v>
      </x:c>
      <x:c r="F618" s="23" t="str">
        <x:v>Non classé</x:v>
      </x:c>
      <x:c r="G618" s="45"/>
      <x:c r="H618" s="45" t="str">
        <x:f>IF(G618="","",ROUNDUP(G618*3,0))</x:f>
      </x:c>
      <x:c r="I618" s="41"/>
      <x:c r="J618" s="42" t="n">
        <x:v>71</x:v>
      </x:c>
      <x:c r="K618" s="42" t="n">
        <x:v>120</x:v>
      </x:c>
      <x:c r="L618" s="42" t="n">
        <x:v>95</x:v>
      </x:c>
      <x:c r="M618" s="42" t="n">
        <x:v>120</x:v>
      </x:c>
      <x:c r="N618" s="42" t="n">
        <x:v>95</x:v>
      </x:c>
      <x:c r="O618" s="42" t="n">
        <x:v>99</x:v>
      </x:c>
      <x:c r="P618" s="43" t="n">
        <x:f>IF(COUNT(J618:O618)=0,"",SUM(J618:O618))</x:f>
        <x:v>600</x:v>
      </x:c>
      <x:c r="Q618" s="23" t="str">
        <x:v>Aucune ligne classée</x:v>
      </x:c>
      <x:c r="R618" s="23" t="str">
        <x:v>Cet ancien Pokémon Insecte a été modifié par la Team Plasma. Ils ont amélioré le canon sur son dos.</x:v>
      </x:c>
      <x:c r="S618" s="23" t="str">
        <x:v>Fabuleux : vente et prix à valider.</x:v>
      </x:c>
      <x:c r="T618" s="23" t="str">
        <x:v>https://pixelmonmod.com/wiki/Genesect</x:v>
      </x:c>
    </x:row>
    <x:row r="619" ht="54" customHeight="1">
      <x:c r="A619" s="27" t="n">
        <x:v>650</x:v>
      </x:c>
      <x:c r="B619" s="23" t="str">
        <x:v>Marisson</x:v>
      </x:c>
      <x:c r="C619" s="23" t="str">
        <x:v>Chespin</x:v>
      </x:c>
      <x:c r="D619" s="23" t="str">
        <x:v>Plante</x:v>
      </x:c>
      <x:c r="E619" s="23" t="str"/>
      <x:c r="F619" s="23" t="str">
        <x:v>Ultra Rare</x:v>
      </x:c>
      <x:c r="G619" s="45" t="n">
        <x:v>75000</x:v>
      </x:c>
      <x:c r="H619" s="45" t="n">
        <x:f>IF(G619="","",ROUNDUP(G619*3,0))</x:f>
        <x:v>225000</x:v>
      </x:c>
      <x:c r="I619" s="41" t="n">
        <x:v>1</x:v>
      </x:c>
      <x:c r="J619" s="42" t="n">
        <x:v>56</x:v>
      </x:c>
      <x:c r="K619" s="42" t="n">
        <x:v>61</x:v>
      </x:c>
      <x:c r="L619" s="42" t="n">
        <x:v>65</x:v>
      </x:c>
      <x:c r="M619" s="42" t="n">
        <x:v>48</x:v>
      </x:c>
      <x:c r="N619" s="42" t="n">
        <x:v>45</x:v>
      </x:c>
      <x:c r="O619" s="42" t="n">
        <x:v>38</x:v>
      </x:c>
      <x:c r="P619" s="43" t="n">
        <x:f>IF(COUNT(J619:O619)=0,"",SUM(J619:O619))</x:f>
        <x:v>313</x:v>
      </x:c>
      <x:c r="Q619" s="23" t="str">
        <x:v>2 lignes de spawn</x:v>
      </x:c>
      <x:c r="R619" s="23" t="str">
        <x:v>Les piquants sur sa tête sont généralement mous. Lorsqu'il les contracte, ils deviennent assez durs et acérés pour percer la roche.</x:v>
      </x:c>
      <x:c r="S619" s="23" t="str"/>
      <x:c r="T619" s="23" t="str">
        <x:v>https://pixelmonmod.com/wiki/Chespin</x:v>
      </x:c>
    </x:row>
    <x:row r="620" ht="54" customHeight="1">
      <x:c r="A620" s="27" t="n">
        <x:v>651</x:v>
      </x:c>
      <x:c r="B620" s="23" t="str">
        <x:v>Boguérisse</x:v>
      </x:c>
      <x:c r="C620" s="23" t="str">
        <x:v>Quilladin</x:v>
      </x:c>
      <x:c r="D620" s="23" t="str">
        <x:v>Plante</x:v>
      </x:c>
      <x:c r="E620" s="23" t="str"/>
      <x:c r="F620" s="23" t="str">
        <x:v>Ultra Rare</x:v>
      </x:c>
      <x:c r="G620" s="45" t="n">
        <x:v>75000</x:v>
      </x:c>
      <x:c r="H620" s="45" t="n">
        <x:f>IF(G620="","",ROUNDUP(G620*3,0))</x:f>
        <x:v>225000</x:v>
      </x:c>
      <x:c r="I620" s="41" t="n">
        <x:v>1</x:v>
      </x:c>
      <x:c r="J620" s="42" t="n">
        <x:v>61</x:v>
      </x:c>
      <x:c r="K620" s="42" t="n">
        <x:v>78</x:v>
      </x:c>
      <x:c r="L620" s="42" t="n">
        <x:v>95</x:v>
      </x:c>
      <x:c r="M620" s="42" t="n">
        <x:v>56</x:v>
      </x:c>
      <x:c r="N620" s="42" t="n">
        <x:v>58</x:v>
      </x:c>
      <x:c r="O620" s="42" t="n">
        <x:v>57</x:v>
      </x:c>
      <x:c r="P620" s="43" t="n">
        <x:f>IF(COUNT(J620:O620)=0,"",SUM(J620:O620))</x:f>
        <x:v>405</x:v>
      </x:c>
      <x:c r="Q620" s="23" t="str">
        <x:v>2 lignes de spawn</x:v>
      </x:c>
      <x:c r="R620" s="23" t="str">
        <x:v>Il compte sur sa carapace robuste pour détourner les attaques des prédateurs. Il riposte en lançant ses piquants acérés.</x:v>
      </x:c>
      <x:c r="S620" s="23" t="str"/>
      <x:c r="T620" s="23" t="str">
        <x:v>https://pixelmonmod.com/wiki/Quilladin</x:v>
      </x:c>
    </x:row>
    <x:row r="621" ht="54" customHeight="1">
      <x:c r="A621" s="27" t="n">
        <x:v>652</x:v>
      </x:c>
      <x:c r="B621" s="23" t="str">
        <x:v>Blindépique</x:v>
      </x:c>
      <x:c r="C621" s="23" t="str">
        <x:v>Chesnaught</x:v>
      </x:c>
      <x:c r="D621" s="23" t="str">
        <x:v>Plante</x:v>
      </x:c>
      <x:c r="E621" s="23" t="str">
        <x:v>Combat</x:v>
      </x:c>
      <x:c r="F621" s="23" t="str">
        <x:v>Ultra Rare</x:v>
      </x:c>
      <x:c r="G621" s="45" t="n">
        <x:v>75000</x:v>
      </x:c>
      <x:c r="H621" s="45" t="n">
        <x:f>IF(G621="","",ROUNDUP(G621*3,0))</x:f>
        <x:v>225000</x:v>
      </x:c>
      <x:c r="I621" s="41" t="n">
        <x:v>1</x:v>
      </x:c>
      <x:c r="J621" s="42" t="n">
        <x:v>88</x:v>
      </x:c>
      <x:c r="K621" s="42" t="n">
        <x:v>107</x:v>
      </x:c>
      <x:c r="L621" s="42" t="n">
        <x:v>122</x:v>
      </x:c>
      <x:c r="M621" s="42" t="n">
        <x:v>74</x:v>
      </x:c>
      <x:c r="N621" s="42" t="n">
        <x:v>75</x:v>
      </x:c>
      <x:c r="O621" s="42" t="n">
        <x:v>64</x:v>
      </x:c>
      <x:c r="P621" s="43" t="n">
        <x:f>IF(COUNT(J621:O621)=0,"",SUM(J621:O621))</x:f>
        <x:v>530</x:v>
      </x:c>
      <x:c r="Q621" s="23" t="str">
        <x:v>2 lignes de spawn</x:v>
      </x:c>
      <x:c r="R621" s="23" t="str">
        <x:v>Sa Charge est assez puissante pour retourner un char de 50 tonnes. Il protège ses alliés du danger en s'interposant de son propre corps.</x:v>
      </x:c>
      <x:c r="S621" s="23" t="str"/>
      <x:c r="T621" s="23" t="str">
        <x:v>https://pixelmonmod.com/wiki/Chesnaught</x:v>
      </x:c>
    </x:row>
    <x:row r="622" ht="54" customHeight="1">
      <x:c r="A622" s="27" t="n">
        <x:v>653</x:v>
      </x:c>
      <x:c r="B622" s="23" t="str">
        <x:v>Feunnec</x:v>
      </x:c>
      <x:c r="C622" s="23" t="str">
        <x:v>Fennekin</x:v>
      </x:c>
      <x:c r="D622" s="23" t="str">
        <x:v>Feu</x:v>
      </x:c>
      <x:c r="E622" s="23" t="str"/>
      <x:c r="F622" s="23" t="str">
        <x:v>Ultra Rare</x:v>
      </x:c>
      <x:c r="G622" s="45" t="n">
        <x:v>75000</x:v>
      </x:c>
      <x:c r="H622" s="45" t="n">
        <x:f>IF(G622="","",ROUNDUP(G622*3,0))</x:f>
        <x:v>225000</x:v>
      </x:c>
      <x:c r="I622" s="41" t="n">
        <x:v>1</x:v>
      </x:c>
      <x:c r="J622" s="42" t="n">
        <x:v>40</x:v>
      </x:c>
      <x:c r="K622" s="42" t="n">
        <x:v>45</x:v>
      </x:c>
      <x:c r="L622" s="42" t="n">
        <x:v>40</x:v>
      </x:c>
      <x:c r="M622" s="42" t="n">
        <x:v>62</x:v>
      </x:c>
      <x:c r="N622" s="42" t="n">
        <x:v>60</x:v>
      </x:c>
      <x:c r="O622" s="42" t="n">
        <x:v>60</x:v>
      </x:c>
      <x:c r="P622" s="43" t="n">
        <x:f>IF(COUNT(J622:O622)=0,"",SUM(J622:O622))</x:f>
        <x:v>307</x:v>
      </x:c>
      <x:c r="Q622" s="23" t="str">
        <x:v>2 lignes de spawn</x:v>
      </x:c>
      <x:c r="R622" s="23" t="str">
        <x:v>Manger une brindille le remplit d'énergie, et ses larges oreilles laissent échapper un air chauffé à plus de 200 °C.</x:v>
      </x:c>
      <x:c r="S622" s="23" t="str"/>
      <x:c r="T622" s="23" t="str">
        <x:v>https://pixelmonmod.com/wiki/Fennekin</x:v>
      </x:c>
    </x:row>
    <x:row r="623" ht="54" customHeight="1">
      <x:c r="A623" s="27" t="n">
        <x:v>654</x:v>
      </x:c>
      <x:c r="B623" s="23" t="str">
        <x:v>Roussil</x:v>
      </x:c>
      <x:c r="C623" s="23" t="str">
        <x:v>Braixen</x:v>
      </x:c>
      <x:c r="D623" s="23" t="str">
        <x:v>Feu</x:v>
      </x:c>
      <x:c r="E623" s="23" t="str"/>
      <x:c r="F623" s="23" t="str">
        <x:v>Ultra Rare</x:v>
      </x:c>
      <x:c r="G623" s="45" t="n">
        <x:v>75000</x:v>
      </x:c>
      <x:c r="H623" s="45" t="n">
        <x:f>IF(G623="","",ROUNDUP(G623*3,0))</x:f>
        <x:v>225000</x:v>
      </x:c>
      <x:c r="I623" s="41" t="n">
        <x:v>1</x:v>
      </x:c>
      <x:c r="J623" s="42" t="n">
        <x:v>59</x:v>
      </x:c>
      <x:c r="K623" s="42" t="n">
        <x:v>59</x:v>
      </x:c>
      <x:c r="L623" s="42" t="n">
        <x:v>58</x:v>
      </x:c>
      <x:c r="M623" s="42" t="n">
        <x:v>90</x:v>
      </x:c>
      <x:c r="N623" s="42" t="n">
        <x:v>70</x:v>
      </x:c>
      <x:c r="O623" s="42" t="n">
        <x:v>73</x:v>
      </x:c>
      <x:c r="P623" s="43" t="n">
        <x:f>IF(COUNT(J623:O623)=0,"",SUM(J623:O623))</x:f>
        <x:v>409</x:v>
      </x:c>
      <x:c r="Q623" s="23" t="str">
        <x:v>2 lignes de spawn</x:v>
      </x:c>
      <x:c r="R623" s="23" t="str">
        <x:v>Il garde une brindille coincée dans sa queue. Avec la friction des poils, il l'enflamme et fonce au combat.</x:v>
      </x:c>
      <x:c r="S623" s="23" t="str"/>
      <x:c r="T623" s="23" t="str">
        <x:v>https://pixelmonmod.com/wiki/Braixen</x:v>
      </x:c>
    </x:row>
    <x:row r="624" ht="54" customHeight="1">
      <x:c r="A624" s="27" t="n">
        <x:v>655</x:v>
      </x:c>
      <x:c r="B624" s="23" t="str">
        <x:v>Goupelin</x:v>
      </x:c>
      <x:c r="C624" s="23" t="str">
        <x:v>Delphox</x:v>
      </x:c>
      <x:c r="D624" s="23" t="str">
        <x:v>Feu</x:v>
      </x:c>
      <x:c r="E624" s="23" t="str">
        <x:v>Psy</x:v>
      </x:c>
      <x:c r="F624" s="23" t="str">
        <x:v>Ultra Rare</x:v>
      </x:c>
      <x:c r="G624" s="45" t="n">
        <x:v>75000</x:v>
      </x:c>
      <x:c r="H624" s="45" t="n">
        <x:f>IF(G624="","",ROUNDUP(G624*3,0))</x:f>
        <x:v>225000</x:v>
      </x:c>
      <x:c r="I624" s="41" t="n">
        <x:v>1</x:v>
      </x:c>
      <x:c r="J624" s="42" t="n">
        <x:v>75</x:v>
      </x:c>
      <x:c r="K624" s="42" t="n">
        <x:v>69</x:v>
      </x:c>
      <x:c r="L624" s="42" t="n">
        <x:v>72</x:v>
      </x:c>
      <x:c r="M624" s="42" t="n">
        <x:v>114</x:v>
      </x:c>
      <x:c r="N624" s="42" t="n">
        <x:v>100</x:v>
      </x:c>
      <x:c r="O624" s="42" t="n">
        <x:v>104</x:v>
      </x:c>
      <x:c r="P624" s="43" t="n">
        <x:f>IF(COUNT(J624:O624)=0,"",SUM(J624:O624))</x:f>
        <x:v>534</x:v>
      </x:c>
      <x:c r="Q624" s="23" t="str">
        <x:v>2 lignes de spawn</x:v>
      </x:c>
      <x:c r="R624" s="23" t="str">
        <x:v>Il fixe la flamme au bout de sa branche pour atteindre un état de concentration intense, ce qui lui permet de voir l'avenir.</x:v>
      </x:c>
      <x:c r="S624" s="23" t="str"/>
      <x:c r="T624" s="23" t="str">
        <x:v>https://pixelmonmod.com/wiki/Delphox</x:v>
      </x:c>
    </x:row>
    <x:row r="625" ht="54" customHeight="1">
      <x:c r="A625" s="27" t="n">
        <x:v>656</x:v>
      </x:c>
      <x:c r="B625" s="23" t="str">
        <x:v>Grenousse</x:v>
      </x:c>
      <x:c r="C625" s="23" t="str">
        <x:v>Froakie</x:v>
      </x:c>
      <x:c r="D625" s="23" t="str">
        <x:v>Eau</x:v>
      </x:c>
      <x:c r="E625" s="23" t="str"/>
      <x:c r="F625" s="23" t="str">
        <x:v>Ultra Rare</x:v>
      </x:c>
      <x:c r="G625" s="45" t="n">
        <x:v>75000</x:v>
      </x:c>
      <x:c r="H625" s="45" t="n">
        <x:f>IF(G625="","",ROUNDUP(G625*3,0))</x:f>
        <x:v>225000</x:v>
      </x:c>
      <x:c r="I625" s="41" t="n">
        <x:v>1</x:v>
      </x:c>
      <x:c r="J625" s="42" t="n">
        <x:v>41</x:v>
      </x:c>
      <x:c r="K625" s="42" t="n">
        <x:v>56</x:v>
      </x:c>
      <x:c r="L625" s="42" t="n">
        <x:v>40</x:v>
      </x:c>
      <x:c r="M625" s="42" t="n">
        <x:v>62</x:v>
      </x:c>
      <x:c r="N625" s="42" t="n">
        <x:v>44</x:v>
      </x:c>
      <x:c r="O625" s="42" t="n">
        <x:v>71</x:v>
      </x:c>
      <x:c r="P625" s="43" t="n">
        <x:f>IF(COUNT(J625:O625)=0,"",SUM(J625:O625))</x:f>
        <x:v>314</x:v>
      </x:c>
      <x:c r="Q625" s="23" t="str">
        <x:v>6 lignes de spawn</x:v>
      </x:c>
      <x:c r="R625" s="23" t="str">
        <x:v>Il sécrète des bulles souples depuis sa poitrine et son dos. Elles réduisent les dégâts qu'il recevrait autrement.</x:v>
      </x:c>
      <x:c r="S625" s="23" t="str"/>
      <x:c r="T625" s="23" t="str">
        <x:v>https://pixelmonmod.com/wiki/Froakie</x:v>
      </x:c>
    </x:row>
    <x:row r="626" ht="54" customHeight="1">
      <x:c r="A626" s="27" t="n">
        <x:v>657</x:v>
      </x:c>
      <x:c r="B626" s="23" t="str">
        <x:v>Croâporal</x:v>
      </x:c>
      <x:c r="C626" s="23" t="str">
        <x:v>Frogadier</x:v>
      </x:c>
      <x:c r="D626" s="23" t="str">
        <x:v>Eau</x:v>
      </x:c>
      <x:c r="E626" s="23" t="str"/>
      <x:c r="F626" s="23" t="str">
        <x:v>Ultra Rare</x:v>
      </x:c>
      <x:c r="G626" s="45" t="n">
        <x:v>75000</x:v>
      </x:c>
      <x:c r="H626" s="45" t="n">
        <x:f>IF(G626="","",ROUNDUP(G626*3,0))</x:f>
        <x:v>225000</x:v>
      </x:c>
      <x:c r="I626" s="41" t="n">
        <x:v>0.667</x:v>
      </x:c>
      <x:c r="J626" s="42" t="n">
        <x:v>54</x:v>
      </x:c>
      <x:c r="K626" s="42" t="n">
        <x:v>63</x:v>
      </x:c>
      <x:c r="L626" s="42" t="n">
        <x:v>52</x:v>
      </x:c>
      <x:c r="M626" s="42" t="n">
        <x:v>83</x:v>
      </x:c>
      <x:c r="N626" s="42" t="n">
        <x:v>56</x:v>
      </x:c>
      <x:c r="O626" s="42" t="n">
        <x:v>97</x:v>
      </x:c>
      <x:c r="P626" s="43" t="n">
        <x:f>IF(COUNT(J626:O626)=0,"",SUM(J626:O626))</x:f>
        <x:v>405</x:v>
      </x:c>
      <x:c r="Q626" s="23" t="str">
        <x:v>6 lignes de spawn</x:v>
      </x:c>
      <x:c r="R626" s="23" t="str">
        <x:v>Il peut lancer des cailloux recouverts de bulles avec une précision remarquable, atteignant des boîtes vides à plus de trente mètres.</x:v>
      </x:c>
      <x:c r="S626" s="23" t="str"/>
      <x:c r="T626" s="23" t="str">
        <x:v>https://pixelmonmod.com/wiki/Frogadier</x:v>
      </x:c>
    </x:row>
    <x:row r="627" ht="54" customHeight="1">
      <x:c r="A627" s="27" t="n">
        <x:v>658</x:v>
      </x:c>
      <x:c r="B627" s="23" t="str">
        <x:v>Amphinobi</x:v>
      </x:c>
      <x:c r="C627" s="23" t="str">
        <x:v>Greninja</x:v>
      </x:c>
      <x:c r="D627" s="23" t="str">
        <x:v>Eau</x:v>
      </x:c>
      <x:c r="E627" s="23" t="str">
        <x:v>Ténèbres</x:v>
      </x:c>
      <x:c r="F627" s="23" t="str">
        <x:v>Ultra Rare</x:v>
      </x:c>
      <x:c r="G627" s="45" t="n">
        <x:v>75000</x:v>
      </x:c>
      <x:c r="H627" s="45" t="n">
        <x:f>IF(G627="","",ROUNDUP(G627*3,0))</x:f>
        <x:v>225000</x:v>
      </x:c>
      <x:c r="I627" s="41" t="n">
        <x:v>1</x:v>
      </x:c>
      <x:c r="J627" s="42" t="n">
        <x:v>72</x:v>
      </x:c>
      <x:c r="K627" s="42" t="n">
        <x:v>95</x:v>
      </x:c>
      <x:c r="L627" s="42" t="n">
        <x:v>67</x:v>
      </x:c>
      <x:c r="M627" s="42" t="n">
        <x:v>103</x:v>
      </x:c>
      <x:c r="N627" s="42" t="n">
        <x:v>71</x:v>
      </x:c>
      <x:c r="O627" s="42" t="n">
        <x:v>122</x:v>
      </x:c>
      <x:c r="P627" s="43" t="n">
        <x:f>IF(COUNT(J627:O627)=0,"",SUM(J627:O627))</x:f>
        <x:v>530</x:v>
      </x:c>
      <x:c r="Q627" s="23" t="str">
        <x:v>9 lignes de spawn</x:v>
      </x:c>
      <x:c r="R627" s="23" t="str">
        <x:v>Il crée des shuriken à partir d'eau comprimée. Lorsqu'il les fait tournoyer et les lance à grande vitesse, ces étoiles peuvent trancher le métal en deux.</x:v>
      </x:c>
      <x:c r="S627" s="23" t="str"/>
      <x:c r="T627" s="23" t="str">
        <x:v>https://pixelmonmod.com/wiki/Greninja</x:v>
      </x:c>
    </x:row>
    <x:row r="628" ht="54" customHeight="1">
      <x:c r="A628" s="27" t="n">
        <x:v>659</x:v>
      </x:c>
      <x:c r="B628" s="23" t="str">
        <x:v>Sapereau</x:v>
      </x:c>
      <x:c r="C628" s="23" t="str">
        <x:v>Bunnelby</x:v>
      </x:c>
      <x:c r="D628" s="23" t="str">
        <x:v>Normal</x:v>
      </x:c>
      <x:c r="E628" s="23" t="str"/>
      <x:c r="F628" s="23" t="str">
        <x:v>Common</x:v>
      </x:c>
      <x:c r="G628" s="45" t="n">
        <x:v>2000</x:v>
      </x:c>
      <x:c r="H628" s="45" t="n">
        <x:f>IF(G628="","",ROUNDUP(G628*3,0))</x:f>
        <x:v>6000</x:v>
      </x:c>
      <x:c r="I628" s="41" t="n">
        <x:v>0.667</x:v>
      </x:c>
      <x:c r="J628" s="42" t="n">
        <x:v>38</x:v>
      </x:c>
      <x:c r="K628" s="42" t="n">
        <x:v>36</x:v>
      </x:c>
      <x:c r="L628" s="42" t="n">
        <x:v>38</x:v>
      </x:c>
      <x:c r="M628" s="42" t="n">
        <x:v>32</x:v>
      </x:c>
      <x:c r="N628" s="42" t="n">
        <x:v>36</x:v>
      </x:c>
      <x:c r="O628" s="42" t="n">
        <x:v>57</x:v>
      </x:c>
      <x:c r="P628" s="43" t="n">
        <x:f>IF(COUNT(J628:O628)=0,"",SUM(J628:O628))</x:f>
        <x:v>237</x:v>
      </x:c>
      <x:c r="Q628" s="23" t="str">
        <x:v>3 lignes de spawn</x:v>
      </x:c>
      <x:c r="R628" s="23" t="str">
        <x:v>Ils utilisent leurs grandes oreilles pour creuser des terriers. Ils peuvent creuser toute la nuit.</x:v>
      </x:c>
      <x:c r="S628" s="23" t="str"/>
      <x:c r="T628" s="23" t="str">
        <x:v>https://pixelmonmod.com/wiki/Bunnelby</x:v>
      </x:c>
    </x:row>
    <x:row r="629" ht="54" customHeight="1">
      <x:c r="A629" s="27" t="n">
        <x:v>660</x:v>
      </x:c>
      <x:c r="B629" s="23" t="str">
        <x:v>Excavarenne</x:v>
      </x:c>
      <x:c r="C629" s="23" t="str">
        <x:v>Diggersby</x:v>
      </x:c>
      <x:c r="D629" s="23" t="str">
        <x:v>Normal</x:v>
      </x:c>
      <x:c r="E629" s="23" t="str">
        <x:v>Sol</x:v>
      </x:c>
      <x:c r="F629" s="23" t="str">
        <x:v>Ultra Rare</x:v>
      </x:c>
      <x:c r="G629" s="45" t="n">
        <x:v>75000</x:v>
      </x:c>
      <x:c r="H629" s="45" t="n">
        <x:f>IF(G629="","",ROUNDUP(G629*3,0))</x:f>
        <x:v>225000</x:v>
      </x:c>
      <x:c r="I629" s="41" t="n">
        <x:v>1</x:v>
      </x:c>
      <x:c r="J629" s="42" t="n">
        <x:v>85</x:v>
      </x:c>
      <x:c r="K629" s="42" t="n">
        <x:v>56</x:v>
      </x:c>
      <x:c r="L629" s="42" t="n">
        <x:v>77</x:v>
      </x:c>
      <x:c r="M629" s="42" t="n">
        <x:v>50</x:v>
      </x:c>
      <x:c r="N629" s="42" t="n">
        <x:v>77</x:v>
      </x:c>
      <x:c r="O629" s="42" t="n">
        <x:v>78</x:v>
      </x:c>
      <x:c r="P629" s="43" t="n">
        <x:f>IF(COUNT(J629:O629)=0,"",SUM(J629:O629))</x:f>
        <x:v>423</x:v>
      </x:c>
      <x:c r="Q629" s="23" t="str">
        <x:v>3 lignes de spawn</x:v>
      </x:c>
      <x:c r="R629" s="23" t="str">
        <x:v>Grâce à leurs oreilles puissantes, ils peuvent soulever des rochers d'une tonne ou plus sans effort. Ils sont très utiles sur les chantiers.</x:v>
      </x:c>
      <x:c r="S629" s="23" t="str"/>
      <x:c r="T629" s="23" t="str">
        <x:v>https://pixelmonmod.com/wiki/Diggersby</x:v>
      </x:c>
    </x:row>
    <x:row r="630" ht="54" customHeight="1">
      <x:c r="A630" s="27" t="n">
        <x:v>661</x:v>
      </x:c>
      <x:c r="B630" s="23" t="str">
        <x:v>Passerouge</x:v>
      </x:c>
      <x:c r="C630" s="23" t="str">
        <x:v>Fletchling</x:v>
      </x:c>
      <x:c r="D630" s="23" t="str">
        <x:v>Normal</x:v>
      </x:c>
      <x:c r="E630" s="23" t="str">
        <x:v>Vol</x:v>
      </x:c>
      <x:c r="F630" s="23" t="str">
        <x:v>Uncommon</x:v>
      </x:c>
      <x:c r="G630" s="45" t="n">
        <x:v>5000</x:v>
      </x:c>
      <x:c r="H630" s="45" t="n">
        <x:f>IF(G630="","",ROUNDUP(G630*3,0))</x:f>
        <x:v>15000</x:v>
      </x:c>
      <x:c r="I630" s="41" t="n">
        <x:v>0.636</x:v>
      </x:c>
      <x:c r="J630" s="42" t="n">
        <x:v>45</x:v>
      </x:c>
      <x:c r="K630" s="42" t="n">
        <x:v>50</x:v>
      </x:c>
      <x:c r="L630" s="42" t="n">
        <x:v>43</x:v>
      </x:c>
      <x:c r="M630" s="42" t="n">
        <x:v>40</x:v>
      </x:c>
      <x:c r="N630" s="42" t="n">
        <x:v>38</x:v>
      </x:c>
      <x:c r="O630" s="42" t="n">
        <x:v>62</x:v>
      </x:c>
      <x:c r="P630" s="43" t="n">
        <x:f>IF(COUNT(J630:O630)=0,"",SUM(J630:O630))</x:f>
        <x:v>278</x:v>
      </x:c>
      <x:c r="Q630" s="23" t="str">
        <x:v>11 lignes de spawn</x:v>
      </x:c>
      <x:c r="R630" s="23" t="str">
        <x:v>Ces Pokémon amicaux communiquent entre eux grâce à de jolis gazouillis et des mouvements de queue.</x:v>
      </x:c>
      <x:c r="S630" s="23" t="str"/>
      <x:c r="T630" s="23" t="str">
        <x:v>https://pixelmonmod.com/wiki/Fletchling</x:v>
      </x:c>
    </x:row>
    <x:row r="631" ht="54" customHeight="1">
      <x:c r="A631" s="27" t="n">
        <x:v>662</x:v>
      </x:c>
      <x:c r="B631" s="23" t="str">
        <x:v>Braisillon</x:v>
      </x:c>
      <x:c r="C631" s="23" t="str">
        <x:v>Fletchinder</x:v>
      </x:c>
      <x:c r="D631" s="23" t="str">
        <x:v>Feu</x:v>
      </x:c>
      <x:c r="E631" s="23" t="str">
        <x:v>Vol</x:v>
      </x:c>
      <x:c r="F631" s="23" t="str">
        <x:v>Uncommon / Ultra Rare</x:v>
      </x:c>
      <x:c r="G631" s="45" t="n">
        <x:v>75000</x:v>
      </x:c>
      <x:c r="H631" s="45" t="n">
        <x:f>IF(G631="","",ROUNDUP(G631*3,0))</x:f>
        <x:v>225000</x:v>
      </x:c>
      <x:c r="I631" s="41" t="n">
        <x:v>0.5</x:v>
      </x:c>
      <x:c r="J631" s="42" t="n">
        <x:v>62</x:v>
      </x:c>
      <x:c r="K631" s="42" t="n">
        <x:v>73</x:v>
      </x:c>
      <x:c r="L631" s="42" t="n">
        <x:v>55</x:v>
      </x:c>
      <x:c r="M631" s="42" t="n">
        <x:v>56</x:v>
      </x:c>
      <x:c r="N631" s="42" t="n">
        <x:v>52</x:v>
      </x:c>
      <x:c r="O631" s="42" t="n">
        <x:v>84</x:v>
      </x:c>
      <x:c r="P631" s="43" t="n">
        <x:f>IF(COUNT(J631:O631)=0,"",SUM(J631:O631))</x:f>
        <x:v>382</x:v>
      </x:c>
      <x:c r="Q631" s="23" t="str">
        <x:v>6 lignes de spawn</x:v>
      </x:c>
      <x:c r="R631" s="23" t="str">
        <x:v>Il expulse des braises de son bec, mettant le haut des herbes en feu, puis fond sur les proies qui surgissent, désorientées.</x:v>
      </x:c>
      <x:c r="S631" s="23" t="str">
        <x:v>Égalité de fréquence; prix provisoire basé sur le palier le plus élevé.</x:v>
      </x:c>
      <x:c r="T631" s="23" t="str">
        <x:v>https://pixelmonmod.com/wiki/Fletchinder</x:v>
      </x:c>
    </x:row>
    <x:row r="632" ht="54" customHeight="1">
      <x:c r="A632" s="27" t="n">
        <x:v>663</x:v>
      </x:c>
      <x:c r="B632" s="23" t="str">
        <x:v>Flambusard</x:v>
      </x:c>
      <x:c r="C632" s="23" t="str">
        <x:v>Talonflame</x:v>
      </x:c>
      <x:c r="D632" s="23" t="str">
        <x:v>Feu</x:v>
      </x:c>
      <x:c r="E632" s="23" t="str">
        <x:v>Vol</x:v>
      </x:c>
      <x:c r="F632" s="23" t="str">
        <x:v>Ultra Rare</x:v>
      </x:c>
      <x:c r="G632" s="45" t="n">
        <x:v>75000</x:v>
      </x:c>
      <x:c r="H632" s="45" t="n">
        <x:f>IF(G632="","",ROUNDUP(G632*3,0))</x:f>
        <x:v>225000</x:v>
      </x:c>
      <x:c r="I632" s="41" t="n">
        <x:v>1</x:v>
      </x:c>
      <x:c r="J632" s="42" t="n">
        <x:v>78</x:v>
      </x:c>
      <x:c r="K632" s="42" t="n">
        <x:v>81</x:v>
      </x:c>
      <x:c r="L632" s="42" t="n">
        <x:v>71</x:v>
      </x:c>
      <x:c r="M632" s="42" t="n">
        <x:v>74</x:v>
      </x:c>
      <x:c r="N632" s="42" t="n">
        <x:v>69</x:v>
      </x:c>
      <x:c r="O632" s="42" t="n">
        <x:v>126</x:v>
      </x:c>
      <x:c r="P632" s="43" t="n">
        <x:f>IF(COUNT(J632:O632)=0,"",SUM(J632:O632))</x:f>
        <x:v>499</x:v>
      </x:c>
      <x:c r="Q632" s="23" t="str">
        <x:v>5 lignes de spawn</x:v>
      </x:c>
      <x:c r="R632" s="23" t="str">
        <x:v>En plein cœur d'un combat passionné, il projette des braises d'entre ses plumes avant de s'élancer dans les airs.</x:v>
      </x:c>
      <x:c r="S632" s="23" t="str"/>
      <x:c r="T632" s="23" t="str">
        <x:v>https://pixelmonmod.com/wiki/Talonflame</x:v>
      </x:c>
    </x:row>
    <x:row r="633" ht="54" customHeight="1">
      <x:c r="A633" s="27" t="n">
        <x:v>664</x:v>
      </x:c>
      <x:c r="B633" s="23" t="str">
        <x:v>Lépidonille</x:v>
      </x:c>
      <x:c r="C633" s="23" t="str">
        <x:v>Scatterbug</x:v>
      </x:c>
      <x:c r="D633" s="23" t="str">
        <x:v>Insecte</x:v>
      </x:c>
      <x:c r="E633" s="23" t="str"/>
      <x:c r="F633" s="23" t="str">
        <x:v>Common / Uncommon</x:v>
      </x:c>
      <x:c r="G633" s="45" t="n">
        <x:v>5000</x:v>
      </x:c>
      <x:c r="H633" s="45" t="n">
        <x:f>IF(G633="","",ROUNDUP(G633*3,0))</x:f>
        <x:v>15000</x:v>
      </x:c>
      <x:c r="I633" s="41" t="n">
        <x:v>0.429</x:v>
      </x:c>
      <x:c r="J633" s="42" t="n">
        <x:v>38</x:v>
      </x:c>
      <x:c r="K633" s="42" t="n">
        <x:v>35</x:v>
      </x:c>
      <x:c r="L633" s="42" t="n">
        <x:v>40</x:v>
      </x:c>
      <x:c r="M633" s="42" t="n">
        <x:v>27</x:v>
      </x:c>
      <x:c r="N633" s="42" t="n">
        <x:v>25</x:v>
      </x:c>
      <x:c r="O633" s="42" t="n">
        <x:v>35</x:v>
      </x:c>
      <x:c r="P633" s="43" t="n">
        <x:f>IF(COUNT(J633:O633)=0,"",SUM(J633:O633))</x:f>
        <x:v>200</x:v>
      </x:c>
      <x:c r="Q633" s="23" t="str">
        <x:v>7 lignes de spawn</x:v>
      </x:c>
      <x:c r="R633" s="23" t="str">
        <x:v>Lorsqu'il est attaqué par des Pokémon Oiseaux, il projette une poudre noire toxique provoquant la paralysie au moindre contact.</x:v>
      </x:c>
      <x:c r="S633" s="23" t="str">
        <x:v>Égalité de fréquence; prix provisoire basé sur le palier le plus élevé.</x:v>
      </x:c>
      <x:c r="T633" s="23" t="str">
        <x:v>https://pixelmonmod.com/wiki/Scatterbug</x:v>
      </x:c>
    </x:row>
    <x:row r="634" ht="54" customHeight="1">
      <x:c r="A634" s="27" t="n">
        <x:v>665</x:v>
      </x:c>
      <x:c r="B634" s="23" t="str">
        <x:v>Pérégrain</x:v>
      </x:c>
      <x:c r="C634" s="23" t="str">
        <x:v>Spewpa</x:v>
      </x:c>
      <x:c r="D634" s="23" t="str">
        <x:v>Insecte</x:v>
      </x:c>
      <x:c r="E634" s="23" t="str"/>
      <x:c r="F634" s="23" t="str">
        <x:v>Rare</x:v>
      </x:c>
      <x:c r="G634" s="45" t="n">
        <x:v>12000</x:v>
      </x:c>
      <x:c r="H634" s="45" t="n">
        <x:f>IF(G634="","",ROUNDUP(G634*3,0))</x:f>
        <x:v>36000</x:v>
      </x:c>
      <x:c r="I634" s="41" t="n">
        <x:v>1</x:v>
      </x:c>
      <x:c r="J634" s="42" t="n">
        <x:v>45</x:v>
      </x:c>
      <x:c r="K634" s="42" t="n">
        <x:v>22</x:v>
      </x:c>
      <x:c r="L634" s="42" t="n">
        <x:v>60</x:v>
      </x:c>
      <x:c r="M634" s="42" t="n">
        <x:v>27</x:v>
      </x:c>
      <x:c r="N634" s="42" t="n">
        <x:v>30</x:v>
      </x:c>
      <x:c r="O634" s="42" t="n">
        <x:v>29</x:v>
      </x:c>
      <x:c r="P634" s="43" t="n">
        <x:f>IF(COUNT(J634:O634)=0,"",SUM(J634:O634))</x:f>
        <x:v>213</x:v>
      </x:c>
      <x:c r="Q634" s="23" t="str">
        <x:v>6 lignes de spawn</x:v>
      </x:c>
      <x:c r="R634" s="23" t="str">
        <x:v>Il vit caché dans les fourrés. Lorsque des prédateurs approchent, il hérisse rapidement sa fourrure pour les intimider.</x:v>
      </x:c>
      <x:c r="S634" s="23" t="str"/>
      <x:c r="T634" s="23" t="str">
        <x:v>https://pixelmonmod.com/wiki/Spewpa</x:v>
      </x:c>
    </x:row>
    <x:row r="635" ht="54" customHeight="1">
      <x:c r="A635" s="27" t="n">
        <x:v>666</x:v>
      </x:c>
      <x:c r="B635" s="23" t="str">
        <x:v>Prismillon</x:v>
      </x:c>
      <x:c r="C635" s="23" t="str">
        <x:v>Vivillon</x:v>
      </x:c>
      <x:c r="D635" s="23" t="str">
        <x:v>Insecte</x:v>
      </x:c>
      <x:c r="E635" s="23" t="str">
        <x:v>Vol</x:v>
      </x:c>
      <x:c r="F635" s="23" t="str">
        <x:v>Ultra Rare</x:v>
      </x:c>
      <x:c r="G635" s="45" t="n">
        <x:v>75000</x:v>
      </x:c>
      <x:c r="H635" s="45" t="n">
        <x:f>IF(G635="","",ROUNDUP(G635*3,0))</x:f>
        <x:v>225000</x:v>
      </x:c>
      <x:c r="I635" s="41" t="n">
        <x:v>1</x:v>
      </x:c>
      <x:c r="J635" s="42" t="n">
        <x:v>80</x:v>
      </x:c>
      <x:c r="K635" s="42" t="n">
        <x:v>52</x:v>
      </x:c>
      <x:c r="L635" s="42" t="n">
        <x:v>50</x:v>
      </x:c>
      <x:c r="M635" s="42" t="n">
        <x:v>90</x:v>
      </x:c>
      <x:c r="N635" s="42" t="n">
        <x:v>50</x:v>
      </x:c>
      <x:c r="O635" s="42" t="n">
        <x:v>89</x:v>
      </x:c>
      <x:c r="P635" s="43" t="n">
        <x:f>IF(COUNT(J635:O635)=0,"",SUM(J635:O635))</x:f>
        <x:v>411</x:v>
      </x:c>
      <x:c r="Q635" s="23" t="str">
        <x:v>33 lignes de spawn</x:v>
      </x:c>
      <x:c r="R635" s="23" t="str">
        <x:v>Prismillon présente de nombreux motifs différents à travers le monde. Ces variations dépendent du climat de leur habitat.</x:v>
      </x:c>
      <x:c r="S635" s="23" t="str"/>
      <x:c r="T635" s="23" t="str">
        <x:v>https://pixelmonmod.com/wiki/Vivillon</x:v>
      </x:c>
    </x:row>
    <x:row r="636" ht="54" customHeight="1">
      <x:c r="A636" s="27" t="n">
        <x:v>667</x:v>
      </x:c>
      <x:c r="B636" s="23" t="str">
        <x:v>Hélionceau</x:v>
      </x:c>
      <x:c r="C636" s="23" t="str">
        <x:v>Litleo</x:v>
      </x:c>
      <x:c r="D636" s="23" t="str">
        <x:v>Feu</x:v>
      </x:c>
      <x:c r="E636" s="23" t="str">
        <x:v>Normal</x:v>
      </x:c>
      <x:c r="F636" s="23" t="str">
        <x:v>Uncommon</x:v>
      </x:c>
      <x:c r="G636" s="45" t="n">
        <x:v>5000</x:v>
      </x:c>
      <x:c r="H636" s="45" t="n">
        <x:f>IF(G636="","",ROUNDUP(G636*3,0))</x:f>
        <x:v>15000</x:v>
      </x:c>
      <x:c r="I636" s="41" t="n">
        <x:v>1</x:v>
      </x:c>
      <x:c r="J636" s="42" t="n">
        <x:v>62</x:v>
      </x:c>
      <x:c r="K636" s="42" t="n">
        <x:v>50</x:v>
      </x:c>
      <x:c r="L636" s="42" t="n">
        <x:v>58</x:v>
      </x:c>
      <x:c r="M636" s="42" t="n">
        <x:v>73</x:v>
      </x:c>
      <x:c r="N636" s="42" t="n">
        <x:v>54</x:v>
      </x:c>
      <x:c r="O636" s="42" t="n">
        <x:v>72</x:v>
      </x:c>
      <x:c r="P636" s="43" t="n">
        <x:f>IF(COUNT(J636:O636)=0,"",SUM(J636:O636))</x:f>
        <x:v>369</x:v>
      </x:c>
      <x:c r="Q636" s="23" t="str">
        <x:v>1 lignes de spawn</x:v>
      </x:c>
      <x:c r="R636" s="23" t="str">
        <x:v>Plus l'adversaire est puissant, plus la chaleur qui émane de sa crinière augmente et plus l'énergie circule dans son corps.</x:v>
      </x:c>
      <x:c r="S636" s="23" t="str"/>
      <x:c r="T636" s="23" t="str">
        <x:v>https://pixelmonmod.com/wiki/Litleo</x:v>
      </x:c>
    </x:row>
    <x:row r="637" ht="54" customHeight="1">
      <x:c r="A637" s="27" t="n">
        <x:v>668</x:v>
      </x:c>
      <x:c r="B637" s="23" t="str">
        <x:v>Némélios</x:v>
      </x:c>
      <x:c r="C637" s="23" t="str">
        <x:v>Pyroar</x:v>
      </x:c>
      <x:c r="D637" s="23" t="str">
        <x:v>Feu</x:v>
      </x:c>
      <x:c r="E637" s="23" t="str">
        <x:v>Normal</x:v>
      </x:c>
      <x:c r="F637" s="23" t="str">
        <x:v>Ultra Rare</x:v>
      </x:c>
      <x:c r="G637" s="45" t="n">
        <x:v>75000</x:v>
      </x:c>
      <x:c r="H637" s="45" t="n">
        <x:f>IF(G637="","",ROUNDUP(G637*3,0))</x:f>
        <x:v>225000</x:v>
      </x:c>
      <x:c r="I637" s="41" t="n">
        <x:v>1</x:v>
      </x:c>
      <x:c r="J637" s="42" t="n">
        <x:v>86</x:v>
      </x:c>
      <x:c r="K637" s="42" t="n">
        <x:v>68</x:v>
      </x:c>
      <x:c r="L637" s="42" t="n">
        <x:v>72</x:v>
      </x:c>
      <x:c r="M637" s="42" t="n">
        <x:v>109</x:v>
      </x:c>
      <x:c r="N637" s="42" t="n">
        <x:v>66</x:v>
      </x:c>
      <x:c r="O637" s="42" t="n">
        <x:v>106</x:v>
      </x:c>
      <x:c r="P637" s="43" t="n">
        <x:f>IF(COUNT(J637:O637)=0,"",SUM(J637:O637))</x:f>
        <x:v>507</x:v>
      </x:c>
      <x:c r="Q637" s="23" t="str">
        <x:v>1 lignes de spawn</x:v>
      </x:c>
      <x:c r="R637" s="23" t="str">
        <x:v>Le mâle dont la crinière de flammes est la plus imposante est le chef du groupe.</x:v>
      </x:c>
      <x:c r="S637" s="23" t="str"/>
      <x:c r="T637" s="23" t="str">
        <x:v>https://pixelmonmod.com/wiki/Pyroar</x:v>
      </x:c>
    </x:row>
    <x:row r="638" ht="54" customHeight="1">
      <x:c r="A638" s="27" t="n">
        <x:v>669</x:v>
      </x:c>
      <x:c r="B638" s="23" t="str">
        <x:v>Flabébé</x:v>
      </x:c>
      <x:c r="C638" s="23" t="str">
        <x:v>Flabébé</x:v>
      </x:c>
      <x:c r="D638" s="23" t="str">
        <x:v>Fée</x:v>
      </x:c>
      <x:c r="E638" s="23" t="str"/>
      <x:c r="F638" s="23" t="str">
        <x:v>Uncommon</x:v>
      </x:c>
      <x:c r="G638" s="45" t="n">
        <x:v>5000</x:v>
      </x:c>
      <x:c r="H638" s="45" t="n">
        <x:f>IF(G638="","",ROUNDUP(G638*3,0))</x:f>
        <x:v>15000</x:v>
      </x:c>
      <x:c r="I638" s="41" t="n">
        <x:v>1</x:v>
      </x:c>
      <x:c r="J638" s="42" t="n">
        <x:v>44</x:v>
      </x:c>
      <x:c r="K638" s="42" t="n">
        <x:v>38</x:v>
      </x:c>
      <x:c r="L638" s="42" t="n">
        <x:v>39</x:v>
      </x:c>
      <x:c r="M638" s="42" t="n">
        <x:v>61</x:v>
      </x:c>
      <x:c r="N638" s="42" t="n">
        <x:v>79</x:v>
      </x:c>
      <x:c r="O638" s="42" t="n">
        <x:v>42</x:v>
      </x:c>
      <x:c r="P638" s="43" t="n">
        <x:f>IF(COUNT(J638:O638)=0,"",SUM(J638:O638))</x:f>
        <x:v>303</x:v>
      </x:c>
      <x:c r="Q638" s="23" t="str">
        <x:v>4 lignes de spawn</x:v>
      </x:c>
      <x:c r="R638" s="23" t="str">
        <x:v>Il puise et contrôle la force cachée des fleurs. La fleur qu'il tient fait probablement partie de son corps.</x:v>
      </x:c>
      <x:c r="S638" s="23" t="str">
        <x:v>Rareté vérifiée sur la page Pixelmon : 4 apparitions Uncommon.</x:v>
      </x:c>
      <x:c r="T638" s="23" t="str">
        <x:v>https://pixelmonmod.com/wiki/Flab%C3%A9b%C3%A9</x:v>
      </x:c>
    </x:row>
    <x:row r="639" ht="54" customHeight="1">
      <x:c r="A639" s="27" t="n">
        <x:v>670</x:v>
      </x:c>
      <x:c r="B639" s="23" t="str">
        <x:v>Floette</x:v>
      </x:c>
      <x:c r="C639" s="23" t="str">
        <x:v>Floette</x:v>
      </x:c>
      <x:c r="D639" s="23" t="str">
        <x:v>Fée</x:v>
      </x:c>
      <x:c r="E639" s="23" t="str"/>
      <x:c r="F639" s="23" t="str">
        <x:v>Ultra Rare</x:v>
      </x:c>
      <x:c r="G639" s="45" t="n">
        <x:v>75000</x:v>
      </x:c>
      <x:c r="H639" s="45" t="n">
        <x:f>IF(G639="","",ROUNDUP(G639*3,0))</x:f>
        <x:v>225000</x:v>
      </x:c>
      <x:c r="I639" s="41" t="n">
        <x:v>0.667</x:v>
      </x:c>
      <x:c r="J639" s="42" t="n">
        <x:v>54</x:v>
      </x:c>
      <x:c r="K639" s="42" t="n">
        <x:v>45</x:v>
      </x:c>
      <x:c r="L639" s="42" t="n">
        <x:v>47</x:v>
      </x:c>
      <x:c r="M639" s="42" t="n">
        <x:v>75</x:v>
      </x:c>
      <x:c r="N639" s="42" t="n">
        <x:v>98</x:v>
      </x:c>
      <x:c r="O639" s="42" t="n">
        <x:v>52</x:v>
      </x:c>
      <x:c r="P639" s="43" t="n">
        <x:f>IF(COUNT(J639:O639)=0,"",SUM(J639:O639))</x:f>
        <x:v>371</x:v>
      </x:c>
      <x:c r="Q639" s="23" t="str">
        <x:v>6 lignes de spawn</x:v>
      </x:c>
      <x:c r="R639" s="23" t="str">
        <x:v>Il vole dans les champs de fleurs et prend soin de celles qui commencent à faner. Il puise la force des fleurs pour se battre.</x:v>
      </x:c>
      <x:c r="S639" s="23" t="str"/>
      <x:c r="T639" s="23" t="str">
        <x:v>https://pixelmonmod.com/wiki/Floette</x:v>
      </x:c>
    </x:row>
    <x:row r="640" ht="54" customHeight="1">
      <x:c r="A640" s="27" t="n">
        <x:v>671</x:v>
      </x:c>
      <x:c r="B640" s="23" t="str">
        <x:v>Florges</x:v>
      </x:c>
      <x:c r="C640" s="23" t="str">
        <x:v>Florges</x:v>
      </x:c>
      <x:c r="D640" s="23" t="str">
        <x:v>Fée</x:v>
      </x:c>
      <x:c r="E640" s="23" t="str"/>
      <x:c r="F640" s="23" t="str">
        <x:v>Ultra Rare</x:v>
      </x:c>
      <x:c r="G640" s="45" t="n">
        <x:v>75000</x:v>
      </x:c>
      <x:c r="H640" s="45" t="n">
        <x:f>IF(G640="","",ROUNDUP(G640*3,0))</x:f>
        <x:v>225000</x:v>
      </x:c>
      <x:c r="I640" s="41" t="n">
        <x:v>1</x:v>
      </x:c>
      <x:c r="J640" s="42" t="n">
        <x:v>78</x:v>
      </x:c>
      <x:c r="K640" s="42" t="n">
        <x:v>65</x:v>
      </x:c>
      <x:c r="L640" s="42" t="n">
        <x:v>68</x:v>
      </x:c>
      <x:c r="M640" s="42" t="n">
        <x:v>112</x:v>
      </x:c>
      <x:c r="N640" s="42" t="n">
        <x:v>154</x:v>
      </x:c>
      <x:c r="O640" s="42" t="n">
        <x:v>75</x:v>
      </x:c>
      <x:c r="P640" s="43" t="n">
        <x:f>IF(COUNT(J640:O640)=0,"",SUM(J640:O640))</x:f>
        <x:v>552</x:v>
      </x:c>
      <x:c r="Q640" s="23" t="str">
        <x:v>4 lignes de spawn</x:v>
      </x:c>
      <x:c r="R640" s="23" t="str">
        <x:v>Il revendique de magnifiques jardins fleuris comme territoire et absorbe l'énergie émise par les plantes à fleurs.</x:v>
      </x:c>
      <x:c r="S640" s="23" t="str"/>
      <x:c r="T640" s="23" t="str">
        <x:v>https://pixelmonmod.com/wiki/Florges</x:v>
      </x:c>
    </x:row>
    <x:row r="641" ht="54" customHeight="1">
      <x:c r="A641" s="27" t="n">
        <x:v>672</x:v>
      </x:c>
      <x:c r="B641" s="23" t="str">
        <x:v>Cabriolaine</x:v>
      </x:c>
      <x:c r="C641" s="23" t="str">
        <x:v>Skiddo</x:v>
      </x:c>
      <x:c r="D641" s="23" t="str">
        <x:v>Plante</x:v>
      </x:c>
      <x:c r="E641" s="23" t="str"/>
      <x:c r="F641" s="23" t="str">
        <x:v>Uncommon</x:v>
      </x:c>
      <x:c r="G641" s="45" t="n">
        <x:v>5000</x:v>
      </x:c>
      <x:c r="H641" s="45" t="n">
        <x:f>IF(G641="","",ROUNDUP(G641*3,0))</x:f>
        <x:v>15000</x:v>
      </x:c>
      <x:c r="I641" s="41" t="n">
        <x:v>1</x:v>
      </x:c>
      <x:c r="J641" s="42" t="n">
        <x:v>66</x:v>
      </x:c>
      <x:c r="K641" s="42" t="n">
        <x:v>65</x:v>
      </x:c>
      <x:c r="L641" s="42" t="n">
        <x:v>48</x:v>
      </x:c>
      <x:c r="M641" s="42" t="n">
        <x:v>62</x:v>
      </x:c>
      <x:c r="N641" s="42" t="n">
        <x:v>57</x:v>
      </x:c>
      <x:c r="O641" s="42" t="n">
        <x:v>52</x:v>
      </x:c>
      <x:c r="P641" s="43" t="n">
        <x:f>IF(COUNT(J641:O641)=0,"",SUM(J641:O641))</x:f>
        <x:v>350</x:v>
      </x:c>
      <x:c r="Q641" s="23" t="str">
        <x:v>7 lignes de spawn</x:v>
      </x:c>
      <x:c r="R641" s="23" t="str">
        <x:v>Considéré comme l'un des premiers Pokémon à vivre en harmonie avec les humains, il possède un tempérament très placide.</x:v>
      </x:c>
      <x:c r="S641" s="23" t="str"/>
      <x:c r="T641" s="23" t="str">
        <x:v>https://pixelmonmod.com/wiki/Skiddo</x:v>
      </x:c>
    </x:row>
    <x:row r="642" ht="54" customHeight="1">
      <x:c r="A642" s="27" t="n">
        <x:v>673</x:v>
      </x:c>
      <x:c r="B642" s="23" t="str">
        <x:v>Chevroum</x:v>
      </x:c>
      <x:c r="C642" s="23" t="str">
        <x:v>Gogoat</x:v>
      </x:c>
      <x:c r="D642" s="23" t="str">
        <x:v>Plante</x:v>
      </x:c>
      <x:c r="E642" s="23" t="str"/>
      <x:c r="F642" s="23" t="str">
        <x:v>Ultra Rare</x:v>
      </x:c>
      <x:c r="G642" s="45" t="n">
        <x:v>75000</x:v>
      </x:c>
      <x:c r="H642" s="45" t="n">
        <x:f>IF(G642="","",ROUNDUP(G642*3,0))</x:f>
        <x:v>225000</x:v>
      </x:c>
      <x:c r="I642" s="41" t="n">
        <x:v>1</x:v>
      </x:c>
      <x:c r="J642" s="42" t="n">
        <x:v>123</x:v>
      </x:c>
      <x:c r="K642" s="42" t="n">
        <x:v>100</x:v>
      </x:c>
      <x:c r="L642" s="42" t="n">
        <x:v>62</x:v>
      </x:c>
      <x:c r="M642" s="42" t="n">
        <x:v>97</x:v>
      </x:c>
      <x:c r="N642" s="42" t="n">
        <x:v>81</x:v>
      </x:c>
      <x:c r="O642" s="42" t="n">
        <x:v>68</x:v>
      </x:c>
      <x:c r="P642" s="43" t="n">
        <x:f>IF(COUNT(J642:O642)=0,"",SUM(J642:O642))</x:f>
        <x:v>531</x:v>
      </x:c>
      <x:c r="Q642" s="23" t="str">
        <x:v>7 lignes de spawn</x:v>
      </x:c>
      <x:c r="R642" s="23" t="str">
        <x:v>Il peut savoir ce que ressent son Dresseur grâce aux légers changements dans la manière dont celui-ci saisit ses cornes. Cette sensibilité empathique leur permet de courir comme s'ils ne faisaient qu'un.</x:v>
      </x:c>
      <x:c r="S642" s="23" t="str"/>
      <x:c r="T642" s="23" t="str">
        <x:v>https://pixelmonmod.com/wiki/Gogoat</x:v>
      </x:c>
    </x:row>
    <x:row r="643" ht="54" customHeight="1">
      <x:c r="A643" s="27" t="n">
        <x:v>674</x:v>
      </x:c>
      <x:c r="B643" s="23" t="str">
        <x:v>Pandespiègle</x:v>
      </x:c>
      <x:c r="C643" s="23" t="str">
        <x:v>Pancham</x:v>
      </x:c>
      <x:c r="D643" s="23" t="str">
        <x:v>Combat</x:v>
      </x:c>
      <x:c r="E643" s="23" t="str"/>
      <x:c r="F643" s="23" t="str">
        <x:v>Uncommon</x:v>
      </x:c>
      <x:c r="G643" s="45" t="n">
        <x:v>5000</x:v>
      </x:c>
      <x:c r="H643" s="45" t="n">
        <x:f>IF(G643="","",ROUNDUP(G643*3,0))</x:f>
        <x:v>15000</x:v>
      </x:c>
      <x:c r="I643" s="41" t="n">
        <x:v>1</x:v>
      </x:c>
      <x:c r="J643" s="42" t="n">
        <x:v>67</x:v>
      </x:c>
      <x:c r="K643" s="42" t="n">
        <x:v>82</x:v>
      </x:c>
      <x:c r="L643" s="42" t="n">
        <x:v>62</x:v>
      </x:c>
      <x:c r="M643" s="42" t="n">
        <x:v>46</x:v>
      </x:c>
      <x:c r="N643" s="42" t="n">
        <x:v>48</x:v>
      </x:c>
      <x:c r="O643" s="42" t="n">
        <x:v>43</x:v>
      </x:c>
      <x:c r="P643" s="43" t="n">
        <x:f>IF(COUNT(J643:O643)=0,"",SUM(J643:O643))</x:f>
        <x:v>348</x:v>
      </x:c>
      <x:c r="Q643" s="23" t="str">
        <x:v>2 lignes de spawn</x:v>
      </x:c>
      <x:c r="R643" s="23" t="str">
        <x:v>Il fait de son mieux pour être pris au sérieux par ses ennemis, mais son regard n'est pas assez intimidant. Mâcher une feuille est sa marque de fabrique.</x:v>
      </x:c>
      <x:c r="S643" s="23" t="str"/>
      <x:c r="T643" s="23" t="str">
        <x:v>https://pixelmonmod.com/wiki/Pancham</x:v>
      </x:c>
    </x:row>
    <x:row r="644" ht="54" customHeight="1">
      <x:c r="A644" s="27" t="n">
        <x:v>675</x:v>
      </x:c>
      <x:c r="B644" s="23" t="str">
        <x:v>Pandarbare</x:v>
      </x:c>
      <x:c r="C644" s="23" t="str">
        <x:v>Pangoro</x:v>
      </x:c>
      <x:c r="D644" s="23" t="str">
        <x:v>Combat</x:v>
      </x:c>
      <x:c r="E644" s="23" t="str">
        <x:v>Ténèbres</x:v>
      </x:c>
      <x:c r="F644" s="23" t="str">
        <x:v>Rare / Ultra Rare</x:v>
      </x:c>
      <x:c r="G644" s="45" t="n">
        <x:v>75000</x:v>
      </x:c>
      <x:c r="H644" s="45" t="n">
        <x:f>IF(G644="","",ROUNDUP(G644*3,0))</x:f>
        <x:v>225000</x:v>
      </x:c>
      <x:c r="I644" s="41" t="n">
        <x:v>0.5</x:v>
      </x:c>
      <x:c r="J644" s="42" t="n">
        <x:v>95</x:v>
      </x:c>
      <x:c r="K644" s="42" t="n">
        <x:v>124</x:v>
      </x:c>
      <x:c r="L644" s="42" t="n">
        <x:v>78</x:v>
      </x:c>
      <x:c r="M644" s="42" t="n">
        <x:v>69</x:v>
      </x:c>
      <x:c r="N644" s="42" t="n">
        <x:v>71</x:v>
      </x:c>
      <x:c r="O644" s="42" t="n">
        <x:v>58</x:v>
      </x:c>
      <x:c r="P644" s="43" t="n">
        <x:f>IF(COUNT(J644:O644)=0,"",SUM(J644:O644))</x:f>
        <x:v>495</x:v>
      </x:c>
      <x:c r="Q644" s="23" t="str">
        <x:v>2 lignes de spawn</x:v>
      </x:c>
      <x:c r="R644" s="23" t="str">
        <x:v>Bien qu'il possède un tempérament violent, il ne tolère pas l'intimidation. Il utilise la feuille dans sa bouche pour détecter les mouvements de ses ennemis.</x:v>
      </x:c>
      <x:c r="S644" s="23" t="str">
        <x:v>Égalité de fréquence; prix provisoire basé sur le palier le plus élevé.</x:v>
      </x:c>
      <x:c r="T644" s="23" t="str">
        <x:v>https://pixelmonmod.com/wiki/Pangoro</x:v>
      </x:c>
    </x:row>
    <x:row r="645" ht="54" customHeight="1">
      <x:c r="A645" s="27" t="n">
        <x:v>676</x:v>
      </x:c>
      <x:c r="B645" s="23" t="str">
        <x:v>Couafarel</x:v>
      </x:c>
      <x:c r="C645" s="23" t="str">
        <x:v>Furfrou</x:v>
      </x:c>
      <x:c r="D645" s="23" t="str">
        <x:v>Normal</x:v>
      </x:c>
      <x:c r="E645" s="23" t="str"/>
      <x:c r="F645" s="23" t="str">
        <x:v>Uncommon</x:v>
      </x:c>
      <x:c r="G645" s="45" t="n">
        <x:v>5000</x:v>
      </x:c>
      <x:c r="H645" s="45" t="n">
        <x:f>IF(G645="","",ROUNDUP(G645*3,0))</x:f>
        <x:v>15000</x:v>
      </x:c>
      <x:c r="I645" s="41" t="n">
        <x:v>1</x:v>
      </x:c>
      <x:c r="J645" s="42" t="n">
        <x:v>75</x:v>
      </x:c>
      <x:c r="K645" s="42" t="n">
        <x:v>80</x:v>
      </x:c>
      <x:c r="L645" s="42" t="n">
        <x:v>60</x:v>
      </x:c>
      <x:c r="M645" s="42" t="n">
        <x:v>65</x:v>
      </x:c>
      <x:c r="N645" s="42" t="n">
        <x:v>90</x:v>
      </x:c>
      <x:c r="O645" s="42" t="n">
        <x:v>102</x:v>
      </x:c>
      <x:c r="P645" s="43" t="n">
        <x:f>IF(COUNT(J645:O645)=0,"",SUM(J645:O645))</x:f>
        <x:v>472</x:v>
      </x:c>
      <x:c r="Q645" s="23" t="str">
        <x:v>2 lignes de spawn</x:v>
      </x:c>
      <x:c r="R645" s="23" t="str">
        <x:v>Tailler sa fourrure lisse non seulement son apparence mais augmente aussi sa vitesse de déplacement.</x:v>
      </x:c>
      <x:c r="S645" s="23" t="str"/>
      <x:c r="T645" s="23" t="str">
        <x:v>https://pixelmonmod.com/wiki/Furfrou</x:v>
      </x:c>
    </x:row>
    <x:row r="646" ht="54" customHeight="1">
      <x:c r="A646" s="27" t="n">
        <x:v>677</x:v>
      </x:c>
      <x:c r="B646" s="23" t="str">
        <x:v>Psystigri</x:v>
      </x:c>
      <x:c r="C646" s="23" t="str">
        <x:v>Espurr</x:v>
      </x:c>
      <x:c r="D646" s="23" t="str">
        <x:v>Psy</x:v>
      </x:c>
      <x:c r="E646" s="23" t="str"/>
      <x:c r="F646" s="23" t="str">
        <x:v>Uncommon</x:v>
      </x:c>
      <x:c r="G646" s="45" t="n">
        <x:v>5000</x:v>
      </x:c>
      <x:c r="H646" s="45" t="n">
        <x:f>IF(G646="","",ROUNDUP(G646*3,0))</x:f>
        <x:v>15000</x:v>
      </x:c>
      <x:c r="I646" s="41" t="n">
        <x:v>1</x:v>
      </x:c>
      <x:c r="J646" s="42" t="n">
        <x:v>62</x:v>
      </x:c>
      <x:c r="K646" s="42" t="n">
        <x:v>48</x:v>
      </x:c>
      <x:c r="L646" s="42" t="n">
        <x:v>54</x:v>
      </x:c>
      <x:c r="M646" s="42" t="n">
        <x:v>63</x:v>
      </x:c>
      <x:c r="N646" s="42" t="n">
        <x:v>60</x:v>
      </x:c>
      <x:c r="O646" s="42" t="n">
        <x:v>68</x:v>
      </x:c>
      <x:c r="P646" s="43" t="n">
        <x:f>IF(COUNT(J646:O646)=0,"",SUM(J646:O646))</x:f>
        <x:v>355</x:v>
      </x:c>
      <x:c r="Q646" s="23" t="str">
        <x:v>2 lignes de spawn</x:v>
      </x:c>
      <x:c r="R646" s="23" t="str">
        <x:v>L'organe émettant son puissant pouvoir psychique est dissimulé sous ses oreilles pour éviter toute fuite d'énergie.</x:v>
      </x:c>
      <x:c r="S646" s="23" t="str"/>
      <x:c r="T646" s="23" t="str">
        <x:v>https://pixelmonmod.com/wiki/Espurr</x:v>
      </x:c>
    </x:row>
    <x:row r="647" ht="54" customHeight="1">
      <x:c r="A647" s="27" t="n">
        <x:v>678</x:v>
      </x:c>
      <x:c r="B647" s="23" t="str">
        <x:v>Mistigrix</x:v>
      </x:c>
      <x:c r="C647" s="23" t="str">
        <x:v>Meowstic</x:v>
      </x:c>
      <x:c r="D647" s="23" t="str">
        <x:v>Psy</x:v>
      </x:c>
      <x:c r="E647" s="23" t="str"/>
      <x:c r="F647" s="23" t="str">
        <x:v>Ultra Rare</x:v>
      </x:c>
      <x:c r="G647" s="45" t="n">
        <x:v>75000</x:v>
      </x:c>
      <x:c r="H647" s="45" t="n">
        <x:f>IF(G647="","",ROUNDUP(G647*3,0))</x:f>
        <x:v>225000</x:v>
      </x:c>
      <x:c r="I647" s="41" t="n">
        <x:v>1</x:v>
      </x:c>
      <x:c r="J647" s="42" t="n">
        <x:v>74</x:v>
      </x:c>
      <x:c r="K647" s="42" t="n">
        <x:v>48</x:v>
      </x:c>
      <x:c r="L647" s="42" t="n">
        <x:v>76</x:v>
      </x:c>
      <x:c r="M647" s="42" t="n">
        <x:v>83</x:v>
      </x:c>
      <x:c r="N647" s="42" t="n">
        <x:v>81</x:v>
      </x:c>
      <x:c r="O647" s="42" t="n">
        <x:v>104</x:v>
      </x:c>
      <x:c r="P647" s="43" t="n">
        <x:f>IF(COUNT(J647:O647)=0,"",SUM(J647:O647))</x:f>
        <x:v>466</x:v>
      </x:c>
      <x:c r="Q647" s="23" t="str">
        <x:v>2 lignes de spawn</x:v>
      </x:c>
      <x:c r="R647" s="23" t="str">
        <x:v>En cas de danger, il dresse ses oreilles et libère assez de puissance psychique pour réduire en poussière un camion de dix tonnes.</x:v>
      </x:c>
      <x:c r="S647" s="23" t="str"/>
      <x:c r="T647" s="23" t="str">
        <x:v>https://pixelmonmod.com/wiki/Meowstic</x:v>
      </x:c>
    </x:row>
    <x:row r="648" ht="54" customHeight="1">
      <x:c r="A648" s="27" t="n">
        <x:v>679</x:v>
      </x:c>
      <x:c r="B648" s="23" t="str">
        <x:v>Monorpale</x:v>
      </x:c>
      <x:c r="C648" s="23" t="str">
        <x:v>Honedge</x:v>
      </x:c>
      <x:c r="D648" s="23" t="str">
        <x:v>Acier</x:v>
      </x:c>
      <x:c r="E648" s="23" t="str">
        <x:v>Spectre</x:v>
      </x:c>
      <x:c r="F648" s="23" t="str">
        <x:v>Uncommon</x:v>
      </x:c>
      <x:c r="G648" s="45" t="n">
        <x:v>5000</x:v>
      </x:c>
      <x:c r="H648" s="45" t="n">
        <x:f>IF(G648="","",ROUNDUP(G648*3,0))</x:f>
        <x:v>15000</x:v>
      </x:c>
      <x:c r="I648" s="41" t="n">
        <x:v>0.8</x:v>
      </x:c>
      <x:c r="J648" s="42" t="n">
        <x:v>45</x:v>
      </x:c>
      <x:c r="K648" s="42" t="n">
        <x:v>80</x:v>
      </x:c>
      <x:c r="L648" s="42" t="n">
        <x:v>100</x:v>
      </x:c>
      <x:c r="M648" s="42" t="n">
        <x:v>35</x:v>
      </x:c>
      <x:c r="N648" s="42" t="n">
        <x:v>37</x:v>
      </x:c>
      <x:c r="O648" s="42" t="n">
        <x:v>28</x:v>
      </x:c>
      <x:c r="P648" s="43" t="n">
        <x:f>IF(COUNT(J648:O648)=0,"",SUM(J648:O648))</x:f>
        <x:v>325</x:v>
      </x:c>
      <x:c r="Q648" s="23" t="str">
        <x:v>5 lignes de spawn</x:v>
      </x:c>
      <x:c r="R648" s="23" t="str">
        <x:v>Il naîtrait lorsqu'un esprit décédé possède une épée. Il s'attache aux gens et absorbe leur force vitale.</x:v>
      </x:c>
      <x:c r="S648" s="23" t="str"/>
      <x:c r="T648" s="23" t="str">
        <x:v>https://pixelmonmod.com/wiki/Honedge</x:v>
      </x:c>
    </x:row>
    <x:row r="649" ht="54" customHeight="1">
      <x:c r="A649" s="27" t="n">
        <x:v>680</x:v>
      </x:c>
      <x:c r="B649" s="23" t="str">
        <x:v>Dimoclès</x:v>
      </x:c>
      <x:c r="C649" s="23" t="str">
        <x:v>Doublade</x:v>
      </x:c>
      <x:c r="D649" s="23" t="str">
        <x:v>Acier</x:v>
      </x:c>
      <x:c r="E649" s="23" t="str">
        <x:v>Spectre</x:v>
      </x:c>
      <x:c r="F649" s="23" t="str">
        <x:v>Ultra Rare</x:v>
      </x:c>
      <x:c r="G649" s="45" t="n">
        <x:v>75000</x:v>
      </x:c>
      <x:c r="H649" s="45" t="n">
        <x:f>IF(G649="","",ROUNDUP(G649*3,0))</x:f>
        <x:v>225000</x:v>
      </x:c>
      <x:c r="I649" s="41" t="n">
        <x:v>1</x:v>
      </x:c>
      <x:c r="J649" s="42" t="n">
        <x:v>59</x:v>
      </x:c>
      <x:c r="K649" s="42" t="n">
        <x:v>110</x:v>
      </x:c>
      <x:c r="L649" s="42" t="n">
        <x:v>150</x:v>
      </x:c>
      <x:c r="M649" s="42" t="n">
        <x:v>45</x:v>
      </x:c>
      <x:c r="N649" s="42" t="n">
        <x:v>49</x:v>
      </x:c>
      <x:c r="O649" s="42" t="n">
        <x:v>35</x:v>
      </x:c>
      <x:c r="P649" s="43" t="n">
        <x:f>IF(COUNT(J649:O649)=0,"",SUM(J649:O649))</x:f>
        <x:v>448</x:v>
      </x:c>
      <x:c r="Q649" s="23" t="str">
        <x:v>5 lignes de spawn</x:v>
      </x:c>
      <x:c r="R649" s="23" t="str">
        <x:v>Lorsque Monorpale évolue, il se divise en deux épées qui coopèrent par télépathie pour synchroniser leurs attaques et tailler l'ennemi en pièces.</x:v>
      </x:c>
      <x:c r="S649" s="23" t="str"/>
      <x:c r="T649" s="23" t="str">
        <x:v>https://pixelmonmod.com/wiki/Doublade</x:v>
      </x:c>
    </x:row>
    <x:row r="650" ht="54" customHeight="1">
      <x:c r="A650" s="27" t="n">
        <x:v>681</x:v>
      </x:c>
      <x:c r="B650" s="23" t="str">
        <x:v>Exagide</x:v>
      </x:c>
      <x:c r="C650" s="23" t="str">
        <x:v>Aegislash</x:v>
      </x:c>
      <x:c r="D650" s="23" t="str">
        <x:v>Acier</x:v>
      </x:c>
      <x:c r="E650" s="23" t="str">
        <x:v>Spectre</x:v>
      </x:c>
      <x:c r="F650" s="23" t="str">
        <x:v>Ultra Rare</x:v>
      </x:c>
      <x:c r="G650" s="45" t="n">
        <x:v>75000</x:v>
      </x:c>
      <x:c r="H650" s="45" t="n">
        <x:f>IF(G650="","",ROUNDUP(G650*3,0))</x:f>
        <x:v>225000</x:v>
      </x:c>
      <x:c r="I650" s="41" t="n">
        <x:v>1</x:v>
      </x:c>
      <x:c r="J650" s="42" t="n">
        <x:v>60</x:v>
      </x:c>
      <x:c r="K650" s="42" t="n">
        <x:v>50</x:v>
      </x:c>
      <x:c r="L650" s="42" t="n">
        <x:v>140</x:v>
      </x:c>
      <x:c r="M650" s="42" t="n">
        <x:v>50</x:v>
      </x:c>
      <x:c r="N650" s="42" t="n">
        <x:v>140</x:v>
      </x:c>
      <x:c r="O650" s="42" t="n">
        <x:v>60</x:v>
      </x:c>
      <x:c r="P650" s="43" t="n">
        <x:f>IF(COUNT(J650:O650)=0,"",SUM(J650:O650))</x:f>
        <x:v>500</x:v>
      </x:c>
      <x:c r="Q650" s="23" t="str">
        <x:v>5 lignes de spawn</x:v>
      </x:c>
      <x:c r="R650" s="23" t="str">
        <x:v>Des générations de rois furent assistées par ces Pokémon, qui manipulaient et contrôlaient humains et Pokémon grâce à leur pouvoir spectral.</x:v>
      </x:c>
      <x:c r="S650" s="23" t="str"/>
      <x:c r="T650" s="23" t="str">
        <x:v>https://pixelmonmod.com/wiki/Aegislash</x:v>
      </x:c>
    </x:row>
    <x:row r="651" ht="54" customHeight="1">
      <x:c r="A651" s="27" t="n">
        <x:v>682</x:v>
      </x:c>
      <x:c r="B651" s="23" t="str">
        <x:v>Fluvetin</x:v>
      </x:c>
      <x:c r="C651" s="23" t="str">
        <x:v>Spritzee</x:v>
      </x:c>
      <x:c r="D651" s="23" t="str">
        <x:v>Fée</x:v>
      </x:c>
      <x:c r="E651" s="23" t="str"/>
      <x:c r="F651" s="23" t="str">
        <x:v>Uncommon</x:v>
      </x:c>
      <x:c r="G651" s="45" t="n">
        <x:v>5000</x:v>
      </x:c>
      <x:c r="H651" s="45" t="n">
        <x:f>IF(G651="","",ROUNDUP(G651*3,0))</x:f>
        <x:v>15000</x:v>
      </x:c>
      <x:c r="I651" s="41" t="n">
        <x:v>0.6</x:v>
      </x:c>
      <x:c r="J651" s="42" t="n">
        <x:v>78</x:v>
      </x:c>
      <x:c r="K651" s="42" t="n">
        <x:v>52</x:v>
      </x:c>
      <x:c r="L651" s="42" t="n">
        <x:v>60</x:v>
      </x:c>
      <x:c r="M651" s="42" t="n">
        <x:v>63</x:v>
      </x:c>
      <x:c r="N651" s="42" t="n">
        <x:v>65</x:v>
      </x:c>
      <x:c r="O651" s="42" t="n">
        <x:v>23</x:v>
      </x:c>
      <x:c r="P651" s="43" t="n">
        <x:f>IF(COUNT(J651:O651)=0,"",SUM(J651:O651))</x:f>
        <x:v>341</x:v>
      </x:c>
      <x:c r="Q651" s="23" t="str">
        <x:v>5 lignes de spawn</x:v>
      </x:c>
      <x:c r="R651" s="23" t="str">
        <x:v>Il émet une odeur qui envoûte ceux qui la respirent. Ce parfum change en fonction de ce qu'il a mangé.</x:v>
      </x:c>
      <x:c r="S651" s="23" t="str"/>
      <x:c r="T651" s="23" t="str">
        <x:v>https://pixelmonmod.com/wiki/Spritzee</x:v>
      </x:c>
    </x:row>
    <x:row r="652" ht="54" customHeight="1">
      <x:c r="A652" s="27" t="n">
        <x:v>683</x:v>
      </x:c>
      <x:c r="B652" s="23" t="str">
        <x:v>Cocotine</x:v>
      </x:c>
      <x:c r="C652" s="23" t="str">
        <x:v>Aromatisse</x:v>
      </x:c>
      <x:c r="D652" s="23" t="str">
        <x:v>Fée</x:v>
      </x:c>
      <x:c r="E652" s="23" t="str"/>
      <x:c r="F652" s="23" t="str">
        <x:v>Non classé</x:v>
      </x:c>
      <x:c r="G652" s="45"/>
      <x:c r="H652" s="45" t="str">
        <x:f>IF(G652="","",ROUNDUP(G652*3,0))</x:f>
      </x:c>
      <x:c r="I652" s="41"/>
      <x:c r="J652" s="42" t="n">
        <x:v>101</x:v>
      </x:c>
      <x:c r="K652" s="42" t="n">
        <x:v>72</x:v>
      </x:c>
      <x:c r="L652" s="42" t="n">
        <x:v>72</x:v>
      </x:c>
      <x:c r="M652" s="42" t="n">
        <x:v>99</x:v>
      </x:c>
      <x:c r="N652" s="42" t="n">
        <x:v>89</x:v>
      </x:c>
      <x:c r="O652" s="42" t="n">
        <x:v>29</x:v>
      </x:c>
      <x:c r="P652" s="43" t="n">
        <x:f>IF(COUNT(J652:O652)=0,"",SUM(J652:O652))</x:f>
        <x:v>462</x:v>
      </x:c>
      <x:c r="Q652" s="23" t="str">
        <x:v>Aucune ligne classée</x:v>
      </x:c>
      <x:c r="R652" s="23" t="str">
        <x:v>Il élabore divers parfums, agréables ou non, et diffuse ceux que ses ennemis détestent pour prendre l'avantage en combat.</x:v>
      </x:c>
      <x:c r="S652" s="23" t="str">
        <x:v>Aucune rareté wiki exploitable; prix à fixer.</x:v>
      </x:c>
      <x:c r="T652" s="23" t="str">
        <x:v>https://pixelmonmod.com/wiki/Aromatisse</x:v>
      </x:c>
    </x:row>
    <x:row r="653" ht="54" customHeight="1">
      <x:c r="A653" s="27" t="n">
        <x:v>684</x:v>
      </x:c>
      <x:c r="B653" s="23" t="str">
        <x:v>Sucroquin</x:v>
      </x:c>
      <x:c r="C653" s="23" t="str">
        <x:v>Swirlix</x:v>
      </x:c>
      <x:c r="D653" s="23" t="str">
        <x:v>Fée</x:v>
      </x:c>
      <x:c r="E653" s="23" t="str"/>
      <x:c r="F653" s="23" t="str">
        <x:v>Uncommon</x:v>
      </x:c>
      <x:c r="G653" s="45" t="n">
        <x:v>5000</x:v>
      </x:c>
      <x:c r="H653" s="45" t="n">
        <x:f>IF(G653="","",ROUNDUP(G653*3,0))</x:f>
        <x:v>15000</x:v>
      </x:c>
      <x:c r="I653" s="41" t="n">
        <x:v>0.6</x:v>
      </x:c>
      <x:c r="J653" s="42" t="n">
        <x:v>62</x:v>
      </x:c>
      <x:c r="K653" s="42" t="n">
        <x:v>48</x:v>
      </x:c>
      <x:c r="L653" s="42" t="n">
        <x:v>66</x:v>
      </x:c>
      <x:c r="M653" s="42" t="n">
        <x:v>59</x:v>
      </x:c>
      <x:c r="N653" s="42" t="n">
        <x:v>57</x:v>
      </x:c>
      <x:c r="O653" s="42" t="n">
        <x:v>49</x:v>
      </x:c>
      <x:c r="P653" s="43" t="n">
        <x:f>IF(COUNT(J653:O653)=0,"",SUM(J653:O653))</x:f>
        <x:v>341</x:v>
      </x:c>
      <x:c r="Q653" s="23" t="str">
        <x:v>5 lignes de spawn</x:v>
      </x:c>
      <x:c r="R653" s="23" t="str">
        <x:v>Pour piéger ses adversaires au combat, il expulse des fils blancs aussi sucrés et collants que de la barbe à papa.</x:v>
      </x:c>
      <x:c r="S653" s="23" t="str"/>
      <x:c r="T653" s="23" t="str">
        <x:v>https://pixelmonmod.com/wiki/Swirlix</x:v>
      </x:c>
    </x:row>
    <x:row r="654" ht="54" customHeight="1">
      <x:c r="A654" s="27" t="n">
        <x:v>685</x:v>
      </x:c>
      <x:c r="B654" s="23" t="str">
        <x:v>Cupcanaille</x:v>
      </x:c>
      <x:c r="C654" s="23" t="str">
        <x:v>Slurpuff</x:v>
      </x:c>
      <x:c r="D654" s="23" t="str">
        <x:v>Fée</x:v>
      </x:c>
      <x:c r="E654" s="23" t="str"/>
      <x:c r="F654" s="23" t="str">
        <x:v>Non classé</x:v>
      </x:c>
      <x:c r="G654" s="45"/>
      <x:c r="H654" s="45" t="str">
        <x:f>IF(G654="","",ROUNDUP(G654*3,0))</x:f>
      </x:c>
      <x:c r="I654" s="41"/>
      <x:c r="J654" s="42" t="n">
        <x:v>82</x:v>
      </x:c>
      <x:c r="K654" s="42" t="n">
        <x:v>80</x:v>
      </x:c>
      <x:c r="L654" s="42" t="n">
        <x:v>86</x:v>
      </x:c>
      <x:c r="M654" s="42" t="n">
        <x:v>85</x:v>
      </x:c>
      <x:c r="N654" s="42" t="n">
        <x:v>75</x:v>
      </x:c>
      <x:c r="O654" s="42" t="n">
        <x:v>72</x:v>
      </x:c>
      <x:c r="P654" s="43" t="n">
        <x:f>IF(COUNT(J654:O654)=0,"",SUM(J654:O654))</x:f>
        <x:v>480</x:v>
      </x:c>
      <x:c r="Q654" s="23" t="str">
        <x:v>Aucune ligne classée</x:v>
      </x:c>
      <x:c r="R654" s="23" t="str">
        <x:v>Il peut percevoir les odeurs les plus subtiles. Il met son odorat sensible au service des pâtissiers.</x:v>
      </x:c>
      <x:c r="S654" s="23" t="str">
        <x:v>Aucune rareté wiki exploitable; prix à fixer.</x:v>
      </x:c>
      <x:c r="T654" s="23" t="str">
        <x:v>https://pixelmonmod.com/wiki/Slurpuff</x:v>
      </x:c>
    </x:row>
    <x:row r="655" ht="54" customHeight="1">
      <x:c r="A655" s="27" t="n">
        <x:v>686</x:v>
      </x:c>
      <x:c r="B655" s="23" t="str">
        <x:v>Sepiatop</x:v>
      </x:c>
      <x:c r="C655" s="23" t="str">
        <x:v>Inkay</x:v>
      </x:c>
      <x:c r="D655" s="23" t="str">
        <x:v>Ténèbres</x:v>
      </x:c>
      <x:c r="E655" s="23" t="str">
        <x:v>Psy</x:v>
      </x:c>
      <x:c r="F655" s="23" t="str">
        <x:v>Uncommon</x:v>
      </x:c>
      <x:c r="G655" s="45" t="n">
        <x:v>5000</x:v>
      </x:c>
      <x:c r="H655" s="45" t="n">
        <x:f>IF(G655="","",ROUNDUP(G655*3,0))</x:f>
        <x:v>15000</x:v>
      </x:c>
      <x:c r="I655" s="41" t="n">
        <x:v>1</x:v>
      </x:c>
      <x:c r="J655" s="42" t="n">
        <x:v>53</x:v>
      </x:c>
      <x:c r="K655" s="42" t="n">
        <x:v>54</x:v>
      </x:c>
      <x:c r="L655" s="42" t="n">
        <x:v>53</x:v>
      </x:c>
      <x:c r="M655" s="42" t="n">
        <x:v>37</x:v>
      </x:c>
      <x:c r="N655" s="42" t="n">
        <x:v>46</x:v>
      </x:c>
      <x:c r="O655" s="42" t="n">
        <x:v>45</x:v>
      </x:c>
      <x:c r="P655" s="43" t="n">
        <x:f>IF(COUNT(J655:O655)=0,"",SUM(J655:O655))</x:f>
        <x:v>288</x:v>
      </x:c>
      <x:c r="Q655" s="23" t="str">
        <x:v>1 lignes de spawn</x:v>
      </x:c>
      <x:c r="R655" s="23" t="str">
        <x:v>Les adversaires qui fixent les clignotements de ses zones lumineuses sont pris de vertiges et perdent toute volonté de combattre.</x:v>
      </x:c>
      <x:c r="S655" s="23" t="str"/>
      <x:c r="T655" s="23" t="str">
        <x:v>https://pixelmonmod.com/wiki/Inkay</x:v>
      </x:c>
    </x:row>
    <x:row r="656" ht="54" customHeight="1">
      <x:c r="A656" s="27" t="n">
        <x:v>687</x:v>
      </x:c>
      <x:c r="B656" s="23" t="str">
        <x:v>Sepiatroce</x:v>
      </x:c>
      <x:c r="C656" s="23" t="str">
        <x:v>Malamar</x:v>
      </x:c>
      <x:c r="D656" s="23" t="str">
        <x:v>Ténèbres</x:v>
      </x:c>
      <x:c r="E656" s="23" t="str">
        <x:v>Psy</x:v>
      </x:c>
      <x:c r="F656" s="23" t="str">
        <x:v>Ultra Rare</x:v>
      </x:c>
      <x:c r="G656" s="45" t="n">
        <x:v>75000</x:v>
      </x:c>
      <x:c r="H656" s="45" t="n">
        <x:f>IF(G656="","",ROUNDUP(G656*3,0))</x:f>
        <x:v>225000</x:v>
      </x:c>
      <x:c r="I656" s="41" t="n">
        <x:v>1</x:v>
      </x:c>
      <x:c r="J656" s="42" t="n">
        <x:v>86</x:v>
      </x:c>
      <x:c r="K656" s="42" t="n">
        <x:v>92</x:v>
      </x:c>
      <x:c r="L656" s="42" t="n">
        <x:v>88</x:v>
      </x:c>
      <x:c r="M656" s="42" t="n">
        <x:v>68</x:v>
      </x:c>
      <x:c r="N656" s="42" t="n">
        <x:v>75</x:v>
      </x:c>
      <x:c r="O656" s="42" t="n">
        <x:v>73</x:v>
      </x:c>
      <x:c r="P656" s="43" t="n">
        <x:f>IF(COUNT(J656:O656)=0,"",SUM(J656:O656))</x:f>
        <x:v>482</x:v>
      </x:c>
      <x:c r="Q656" s="23" t="str">
        <x:v>1 lignes de spawn</x:v>
      </x:c>
      <x:c r="R656" s="23" t="str">
        <x:v>Il possède les pouvoirs hypnotiques les plus impressionnants parmi les Pokémon, et force les autres à faire tout ce qu'il souhaite.</x:v>
      </x:c>
      <x:c r="S656" s="23" t="str"/>
      <x:c r="T656" s="23" t="str">
        <x:v>https://pixelmonmod.com/wiki/Malamar</x:v>
      </x:c>
    </x:row>
    <x:row r="657" ht="54" customHeight="1">
      <x:c r="A657" s="27" t="n">
        <x:v>688</x:v>
      </x:c>
      <x:c r="B657" s="23" t="str">
        <x:v>Opermine</x:v>
      </x:c>
      <x:c r="C657" s="23" t="str">
        <x:v>Binacle</x:v>
      </x:c>
      <x:c r="D657" s="23" t="str">
        <x:v>Roche</x:v>
      </x:c>
      <x:c r="E657" s="23" t="str">
        <x:v>Eau</x:v>
      </x:c>
      <x:c r="F657" s="23" t="str">
        <x:v>Uncommon</x:v>
      </x:c>
      <x:c r="G657" s="45" t="n">
        <x:v>5000</x:v>
      </x:c>
      <x:c r="H657" s="45" t="n">
        <x:f>IF(G657="","",ROUNDUP(G657*3,0))</x:f>
        <x:v>15000</x:v>
      </x:c>
      <x:c r="I657" s="41" t="n">
        <x:v>1</x:v>
      </x:c>
      <x:c r="J657" s="42" t="n">
        <x:v>42</x:v>
      </x:c>
      <x:c r="K657" s="42" t="n">
        <x:v>52</x:v>
      </x:c>
      <x:c r="L657" s="42" t="n">
        <x:v>67</x:v>
      </x:c>
      <x:c r="M657" s="42" t="n">
        <x:v>39</x:v>
      </x:c>
      <x:c r="N657" s="42" t="n">
        <x:v>56</x:v>
      </x:c>
      <x:c r="O657" s="42" t="n">
        <x:v>50</x:v>
      </x:c>
      <x:c r="P657" s="43" t="n">
        <x:f>IF(COUNT(J657:O657)=0,"",SUM(J657:O657))</x:f>
        <x:v>306</x:v>
      </x:c>
      <x:c r="Q657" s="23" t="str">
        <x:v>4 lignes de spawn</x:v>
      </x:c>
      <x:c r="R657" s="23" t="str">
        <x:v>Deux Opermine vivent ensemble sur un même rocher. Lorsqu'ils se disputent, l'un d'eux finit par changer de rocher.</x:v>
      </x:c>
      <x:c r="S657" s="23" t="str"/>
      <x:c r="T657" s="23" t="str">
        <x:v>https://pixelmonmod.com/wiki/Binacle</x:v>
      </x:c>
    </x:row>
    <x:row r="658" ht="54" customHeight="1">
      <x:c r="A658" s="27" t="n">
        <x:v>689</x:v>
      </x:c>
      <x:c r="B658" s="23" t="str">
        <x:v>Golgopathe</x:v>
      </x:c>
      <x:c r="C658" s="23" t="str">
        <x:v>Barbaracle</x:v>
      </x:c>
      <x:c r="D658" s="23" t="str">
        <x:v>Roche</x:v>
      </x:c>
      <x:c r="E658" s="23" t="str">
        <x:v>Eau</x:v>
      </x:c>
      <x:c r="F658" s="23" t="str">
        <x:v>Ultra Rare</x:v>
      </x:c>
      <x:c r="G658" s="45" t="n">
        <x:v>75000</x:v>
      </x:c>
      <x:c r="H658" s="45" t="n">
        <x:f>IF(G658="","",ROUNDUP(G658*3,0))</x:f>
        <x:v>225000</x:v>
      </x:c>
      <x:c r="I658" s="41" t="n">
        <x:v>1</x:v>
      </x:c>
      <x:c r="J658" s="42" t="n">
        <x:v>72</x:v>
      </x:c>
      <x:c r="K658" s="42" t="n">
        <x:v>105</x:v>
      </x:c>
      <x:c r="L658" s="42" t="n">
        <x:v>115</x:v>
      </x:c>
      <x:c r="M658" s="42" t="n">
        <x:v>54</x:v>
      </x:c>
      <x:c r="N658" s="42" t="n">
        <x:v>86</x:v>
      </x:c>
      <x:c r="O658" s="42" t="n">
        <x:v>68</x:v>
      </x:c>
      <x:c r="P658" s="43" t="n">
        <x:f>IF(COUNT(J658:O658)=0,"",SUM(J658:O658))</x:f>
        <x:v>500</x:v>
      </x:c>
      <x:c r="Q658" s="23" t="str">
        <x:v>4 lignes de spawn</x:v>
      </x:c>
      <x:c r="R658" s="23" t="str">
        <x:v>En évoluant, deux Opermine deviennent sept. Ils combattent avec la force de sept Opermine.</x:v>
      </x:c>
      <x:c r="S658" s="23" t="str"/>
      <x:c r="T658" s="23" t="str">
        <x:v>https://pixelmonmod.com/wiki/Barbaracle</x:v>
      </x:c>
    </x:row>
    <x:row r="659" ht="54" customHeight="1">
      <x:c r="A659" s="27" t="n">
        <x:v>690</x:v>
      </x:c>
      <x:c r="B659" s="23" t="str">
        <x:v>Venalgue</x:v>
      </x:c>
      <x:c r="C659" s="23" t="str">
        <x:v>Skrelp</x:v>
      </x:c>
      <x:c r="D659" s="23" t="str">
        <x:v>Poison</x:v>
      </x:c>
      <x:c r="E659" s="23" t="str">
        <x:v>Eau</x:v>
      </x:c>
      <x:c r="F659" s="23" t="str">
        <x:v>Uncommon</x:v>
      </x:c>
      <x:c r="G659" s="45" t="n">
        <x:v>5000</x:v>
      </x:c>
      <x:c r="H659" s="45" t="n">
        <x:f>IF(G659="","",ROUNDUP(G659*3,0))</x:f>
        <x:v>15000</x:v>
      </x:c>
      <x:c r="I659" s="41" t="n">
        <x:v>1</x:v>
      </x:c>
      <x:c r="J659" s="42" t="n">
        <x:v>50</x:v>
      </x:c>
      <x:c r="K659" s="42" t="n">
        <x:v>60</x:v>
      </x:c>
      <x:c r="L659" s="42" t="n">
        <x:v>60</x:v>
      </x:c>
      <x:c r="M659" s="42" t="n">
        <x:v>60</x:v>
      </x:c>
      <x:c r="N659" s="42" t="n">
        <x:v>60</x:v>
      </x:c>
      <x:c r="O659" s="42" t="n">
        <x:v>30</x:v>
      </x:c>
      <x:c r="P659" s="43" t="n">
        <x:f>IF(COUNT(J659:O659)=0,"",SUM(J659:O659))</x:f>
        <x:v>320</x:v>
      </x:c>
      <x:c r="Q659" s="23" t="str">
        <x:v>12 lignes de spawn</x:v>
      </x:c>
      <x:c r="R659" s="23" t="str">
        <x:v>Camouflés en algues pourries, ils projettent un liquide toxique sur les proies imprudentes avant de les achever.</x:v>
      </x:c>
      <x:c r="S659" s="23" t="str"/>
      <x:c r="T659" s="23" t="str">
        <x:v>https://pixelmonmod.com/wiki/Skrelp</x:v>
      </x:c>
    </x:row>
    <x:row r="660" ht="54" customHeight="1">
      <x:c r="A660" s="27" t="n">
        <x:v>691</x:v>
      </x:c>
      <x:c r="B660" s="23" t="str">
        <x:v>Kravarech</x:v>
      </x:c>
      <x:c r="C660" s="23" t="str">
        <x:v>Dragalge</x:v>
      </x:c>
      <x:c r="D660" s="23" t="str">
        <x:v>Poison</x:v>
      </x:c>
      <x:c r="E660" s="23" t="str">
        <x:v>Dragon</x:v>
      </x:c>
      <x:c r="F660" s="23" t="str">
        <x:v>Ultra Rare</x:v>
      </x:c>
      <x:c r="G660" s="45" t="n">
        <x:v>75000</x:v>
      </x:c>
      <x:c r="H660" s="45" t="n">
        <x:f>IF(G660="","",ROUNDUP(G660*3,0))</x:f>
        <x:v>225000</x:v>
      </x:c>
      <x:c r="I660" s="41" t="n">
        <x:v>0.857</x:v>
      </x:c>
      <x:c r="J660" s="42" t="n">
        <x:v>65</x:v>
      </x:c>
      <x:c r="K660" s="42" t="n">
        <x:v>75</x:v>
      </x:c>
      <x:c r="L660" s="42" t="n">
        <x:v>90</x:v>
      </x:c>
      <x:c r="M660" s="42" t="n">
        <x:v>97</x:v>
      </x:c>
      <x:c r="N660" s="42" t="n">
        <x:v>123</x:v>
      </x:c>
      <x:c r="O660" s="42" t="n">
        <x:v>44</x:v>
      </x:c>
      <x:c r="P660" s="43" t="n">
        <x:f>IF(COUNT(J660:O660)=0,"",SUM(J660:O660))</x:f>
        <x:v>494</x:v>
      </x:c>
      <x:c r="Q660" s="23" t="str">
        <x:v>7 lignes de spawn</x:v>
      </x:c>
      <x:c r="R660" s="23" t="str">
        <x:v>Leur poison est assez puissant pour dissoudre la coque d'un pétrolier. Ils le crachent sur tout intrus pénétrant leur territoire.</x:v>
      </x:c>
      <x:c r="S660" s="23" t="str"/>
      <x:c r="T660" s="23" t="str">
        <x:v>https://pixelmonmod.com/wiki/Dragalge</x:v>
      </x:c>
    </x:row>
    <x:row r="661" ht="54" customHeight="1">
      <x:c r="A661" s="27" t="n">
        <x:v>692</x:v>
      </x:c>
      <x:c r="B661" s="23" t="str">
        <x:v>Flingouste</x:v>
      </x:c>
      <x:c r="C661" s="23" t="str">
        <x:v>Clauncher</x:v>
      </x:c>
      <x:c r="D661" s="23" t="str">
        <x:v>Eau</x:v>
      </x:c>
      <x:c r="E661" s="23" t="str"/>
      <x:c r="F661" s="23" t="str">
        <x:v>Uncommon</x:v>
      </x:c>
      <x:c r="G661" s="45" t="n">
        <x:v>5000</x:v>
      </x:c>
      <x:c r="H661" s="45" t="n">
        <x:f>IF(G661="","",ROUNDUP(G661*3,0))</x:f>
        <x:v>15000</x:v>
      </x:c>
      <x:c r="I661" s="41" t="n">
        <x:v>1</x:v>
      </x:c>
      <x:c r="J661" s="42" t="n">
        <x:v>50</x:v>
      </x:c>
      <x:c r="K661" s="42" t="n">
        <x:v>53</x:v>
      </x:c>
      <x:c r="L661" s="42" t="n">
        <x:v>62</x:v>
      </x:c>
      <x:c r="M661" s="42" t="n">
        <x:v>58</x:v>
      </x:c>
      <x:c r="N661" s="42" t="n">
        <x:v>63</x:v>
      </x:c>
      <x:c r="O661" s="42" t="n">
        <x:v>44</x:v>
      </x:c>
      <x:c r="P661" s="43" t="n">
        <x:f>IF(COUNT(J661:O661)=0,"",SUM(J661:O661))</x:f>
        <x:v>330</x:v>
      </x:c>
      <x:c r="Q661" s="23" t="str">
        <x:v>7 lignes de spawn</x:v>
      </x:c>
      <x:c r="R661" s="23" t="str">
        <x:v>Il abat ses proies volantes en tirant de l'eau comprimée depuis sa pince massive, comme une balle de pistolet.</x:v>
      </x:c>
      <x:c r="S661" s="23" t="str"/>
      <x:c r="T661" s="23" t="str">
        <x:v>https://pixelmonmod.com/wiki/Clauncher</x:v>
      </x:c>
    </x:row>
    <x:row r="662" ht="54" customHeight="1">
      <x:c r="A662" s="27" t="n">
        <x:v>693</x:v>
      </x:c>
      <x:c r="B662" s="23" t="str">
        <x:v>Gamblast</x:v>
      </x:c>
      <x:c r="C662" s="23" t="str">
        <x:v>Clawitzer</x:v>
      </x:c>
      <x:c r="D662" s="23" t="str">
        <x:v>Eau</x:v>
      </x:c>
      <x:c r="E662" s="23" t="str"/>
      <x:c r="F662" s="23" t="str">
        <x:v>Ultra Rare</x:v>
      </x:c>
      <x:c r="G662" s="45" t="n">
        <x:v>75000</x:v>
      </x:c>
      <x:c r="H662" s="45" t="n">
        <x:f>IF(G662="","",ROUNDUP(G662*3,0))</x:f>
        <x:v>225000</x:v>
      </x:c>
      <x:c r="I662" s="41" t="n">
        <x:v>1</x:v>
      </x:c>
      <x:c r="J662" s="42" t="n">
        <x:v>71</x:v>
      </x:c>
      <x:c r="K662" s="42" t="n">
        <x:v>73</x:v>
      </x:c>
      <x:c r="L662" s="42" t="n">
        <x:v>88</x:v>
      </x:c>
      <x:c r="M662" s="42" t="n">
        <x:v>120</x:v>
      </x:c>
      <x:c r="N662" s="42" t="n">
        <x:v>89</x:v>
      </x:c>
      <x:c r="O662" s="42" t="n">
        <x:v>59</x:v>
      </x:c>
      <x:c r="P662" s="43" t="n">
        <x:f>IF(COUNT(J662:O662)=0,"",SUM(J662:O662))</x:f>
        <x:v>500</x:v>
      </x:c>
      <x:c r="Q662" s="23" t="str">
        <x:v>4 lignes de spawn</x:v>
      </x:c>
      <x:c r="R662" s="23" t="str">
        <x:v>Leurs immenses pinces projettent des boulets d'eau suffisamment puissants pour percer la coque d'un navire-citerne.</x:v>
      </x:c>
      <x:c r="S662" s="23" t="str"/>
      <x:c r="T662" s="23" t="str">
        <x:v>https://pixelmonmod.com/wiki/Clawitzer</x:v>
      </x:c>
    </x:row>
    <x:row r="663" ht="54" customHeight="1">
      <x:c r="A663" s="27" t="n">
        <x:v>694</x:v>
      </x:c>
      <x:c r="B663" s="23" t="str">
        <x:v>Galvaran</x:v>
      </x:c>
      <x:c r="C663" s="23" t="str">
        <x:v>Helioptile</x:v>
      </x:c>
      <x:c r="D663" s="23" t="str">
        <x:v>Électrik</x:v>
      </x:c>
      <x:c r="E663" s="23" t="str">
        <x:v>Normal</x:v>
      </x:c>
      <x:c r="F663" s="23" t="str">
        <x:v>Uncommon</x:v>
      </x:c>
      <x:c r="G663" s="45" t="n">
        <x:v>5000</x:v>
      </x:c>
      <x:c r="H663" s="45" t="n">
        <x:f>IF(G663="","",ROUNDUP(G663*3,0))</x:f>
        <x:v>15000</x:v>
      </x:c>
      <x:c r="I663" s="41" t="n">
        <x:v>1</x:v>
      </x:c>
      <x:c r="J663" s="42" t="n">
        <x:v>44</x:v>
      </x:c>
      <x:c r="K663" s="42" t="n">
        <x:v>38</x:v>
      </x:c>
      <x:c r="L663" s="42" t="n">
        <x:v>33</x:v>
      </x:c>
      <x:c r="M663" s="42" t="n">
        <x:v>61</x:v>
      </x:c>
      <x:c r="N663" s="42" t="n">
        <x:v>43</x:v>
      </x:c>
      <x:c r="O663" s="42" t="n">
        <x:v>70</x:v>
      </x:c>
      <x:c r="P663" s="43" t="n">
        <x:f>IF(COUNT(J663:O663)=0,"",SUM(J663:O663))</x:f>
        <x:v>289</x:v>
      </x:c>
      <x:c r="Q663" s="23" t="str">
        <x:v>2 lignes de spawn</x:v>
      </x:c>
      <x:c r="R663" s="23" t="str">
        <x:v>Ils vivent dans les déserts. En se gorgeant de soleil, ils génèrent suffisamment d'énergie pour se passer de nourriture.</x:v>
      </x:c>
      <x:c r="S663" s="23" t="str"/>
      <x:c r="T663" s="23" t="str">
        <x:v>https://pixelmonmod.com/wiki/Helioptile</x:v>
      </x:c>
    </x:row>
    <x:row r="664" ht="54" customHeight="1">
      <x:c r="A664" s="27" t="n">
        <x:v>695</x:v>
      </x:c>
      <x:c r="B664" s="23" t="str">
        <x:v>Iguolta</x:v>
      </x:c>
      <x:c r="C664" s="23" t="str">
        <x:v>Heliolisk</x:v>
      </x:c>
      <x:c r="D664" s="23" t="str">
        <x:v>Électrik</x:v>
      </x:c>
      <x:c r="E664" s="23" t="str">
        <x:v>Normal</x:v>
      </x:c>
      <x:c r="F664" s="23" t="str">
        <x:v>Rare / Ultra Rare</x:v>
      </x:c>
      <x:c r="G664" s="45" t="n">
        <x:v>75000</x:v>
      </x:c>
      <x:c r="H664" s="45" t="n">
        <x:f>IF(G664="","",ROUNDUP(G664*3,0))</x:f>
        <x:v>225000</x:v>
      </x:c>
      <x:c r="I664" s="41" t="n">
        <x:v>0.5</x:v>
      </x:c>
      <x:c r="J664" s="42" t="n">
        <x:v>62</x:v>
      </x:c>
      <x:c r="K664" s="42" t="n">
        <x:v>55</x:v>
      </x:c>
      <x:c r="L664" s="42" t="n">
        <x:v>52</x:v>
      </x:c>
      <x:c r="M664" s="42" t="n">
        <x:v>109</x:v>
      </x:c>
      <x:c r="N664" s="42" t="n">
        <x:v>94</x:v>
      </x:c>
      <x:c r="O664" s="42" t="n">
        <x:v>109</x:v>
      </x:c>
      <x:c r="P664" s="43" t="n">
        <x:f>IF(COUNT(J664:O664)=0,"",SUM(J664:O664))</x:f>
        <x:v>481</x:v>
      </x:c>
      <x:c r="Q664" s="23" t="str">
        <x:v>2 lignes de spawn</x:v>
      </x:c>
      <x:c r="R664" s="23" t="str">
        <x:v>Ils déploient leur collerette et génèrent de l'énergie. Un seul Iguolta peut produire assez d'électricité pour alimenter un gratte-ciel.</x:v>
      </x:c>
      <x:c r="S664" s="23" t="str">
        <x:v>Égalité de fréquence; prix provisoire basé sur le palier le plus élevé.</x:v>
      </x:c>
      <x:c r="T664" s="23" t="str">
        <x:v>https://pixelmonmod.com/wiki/Heliolisk</x:v>
      </x:c>
    </x:row>
    <x:row r="665" ht="54" customHeight="1">
      <x:c r="A665" s="27" t="n">
        <x:v>696</x:v>
      </x:c>
      <x:c r="B665" s="23" t="str">
        <x:v>Ptyranidur</x:v>
      </x:c>
      <x:c r="C665" s="23" t="str">
        <x:v>Tyrunt</x:v>
      </x:c>
      <x:c r="D665" s="23" t="str">
        <x:v>Roche</x:v>
      </x:c>
      <x:c r="E665" s="23" t="str">
        <x:v>Dragon</x:v>
      </x:c>
      <x:c r="F665" s="23" t="str">
        <x:v>Rare</x:v>
      </x:c>
      <x:c r="G665" s="45" t="n">
        <x:v>12000</x:v>
      </x:c>
      <x:c r="H665" s="45" t="n">
        <x:f>IF(G665="","",ROUNDUP(G665*3,0))</x:f>
        <x:v>36000</x:v>
      </x:c>
      <x:c r="I665" s="41" t="n">
        <x:v>1</x:v>
      </x:c>
      <x:c r="J665" s="42" t="n">
        <x:v>58</x:v>
      </x:c>
      <x:c r="K665" s="42" t="n">
        <x:v>89</x:v>
      </x:c>
      <x:c r="L665" s="42" t="n">
        <x:v>77</x:v>
      </x:c>
      <x:c r="M665" s="42" t="n">
        <x:v>45</x:v>
      </x:c>
      <x:c r="N665" s="42" t="n">
        <x:v>45</x:v>
      </x:c>
      <x:c r="O665" s="42" t="n">
        <x:v>48</x:v>
      </x:c>
      <x:c r="P665" s="43" t="n">
        <x:f>IF(COUNT(J665:O665)=0,"",SUM(J665:O665))</x:f>
        <x:v>362</x:v>
      </x:c>
      <x:c r="Q665" s="23" t="str">
        <x:v>1 lignes de spawn</x:v>
      </x:c>
      <x:c r="R665" s="23" t="str">
        <x:v>Ce Pokémon a été ressuscité d'un fossile. Si quelque chose ne lui plaît pas, il pique une colère et devient incontrôlable.</x:v>
      </x:c>
      <x:c r="S665" s="23" t="str"/>
      <x:c r="T665" s="23" t="str">
        <x:v>https://pixelmonmod.com/wiki/Tyrunt</x:v>
      </x:c>
    </x:row>
    <x:row r="666" ht="54" customHeight="1">
      <x:c r="A666" s="27" t="n">
        <x:v>697</x:v>
      </x:c>
      <x:c r="B666" s="23" t="str">
        <x:v>Rexilius</x:v>
      </x:c>
      <x:c r="C666" s="23" t="str">
        <x:v>Tyrantrum</x:v>
      </x:c>
      <x:c r="D666" s="23" t="str">
        <x:v>Roche</x:v>
      </x:c>
      <x:c r="E666" s="23" t="str">
        <x:v>Dragon</x:v>
      </x:c>
      <x:c r="F666" s="23" t="str">
        <x:v>Ultra Rare</x:v>
      </x:c>
      <x:c r="G666" s="45" t="n">
        <x:v>75000</x:v>
      </x:c>
      <x:c r="H666" s="45" t="n">
        <x:f>IF(G666="","",ROUNDUP(G666*3,0))</x:f>
        <x:v>225000</x:v>
      </x:c>
      <x:c r="I666" s="41" t="n">
        <x:v>1</x:v>
      </x:c>
      <x:c r="J666" s="42" t="n">
        <x:v>82</x:v>
      </x:c>
      <x:c r="K666" s="42" t="n">
        <x:v>121</x:v>
      </x:c>
      <x:c r="L666" s="42" t="n">
        <x:v>119</x:v>
      </x:c>
      <x:c r="M666" s="42" t="n">
        <x:v>69</x:v>
      </x:c>
      <x:c r="N666" s="42" t="n">
        <x:v>59</x:v>
      </x:c>
      <x:c r="O666" s="42" t="n">
        <x:v>71</x:v>
      </x:c>
      <x:c r="P666" s="43" t="n">
        <x:f>IF(COUNT(J666:O666)=0,"",SUM(J666:O666))</x:f>
        <x:v>521</x:v>
      </x:c>
      <x:c r="Q666" s="23" t="str">
        <x:v>1 lignes de spawn</x:v>
      </x:c>
      <x:c r="R666" s="23" t="str">
        <x:v>Grâce à ses mâchoires gigantesques, capables de déchirer d'épaisses plaques de métal comme du papier, il était invincible dans l'ancien monde qu'il habitait.</x:v>
      </x:c>
      <x:c r="S666" s="23" t="str"/>
      <x:c r="T666" s="23" t="str">
        <x:v>https://pixelmonmod.com/wiki/Tyrantrum</x:v>
      </x:c>
    </x:row>
    <x:row r="667" ht="54" customHeight="1">
      <x:c r="A667" s="27" t="n">
        <x:v>698</x:v>
      </x:c>
      <x:c r="B667" s="23" t="str">
        <x:v>Amagara</x:v>
      </x:c>
      <x:c r="C667" s="23" t="str">
        <x:v>Amaura</x:v>
      </x:c>
      <x:c r="D667" s="23" t="str">
        <x:v>Roche</x:v>
      </x:c>
      <x:c r="E667" s="23" t="str">
        <x:v>Glace</x:v>
      </x:c>
      <x:c r="F667" s="23" t="str">
        <x:v>Rare</x:v>
      </x:c>
      <x:c r="G667" s="45" t="n">
        <x:v>12000</x:v>
      </x:c>
      <x:c r="H667" s="45" t="n">
        <x:f>IF(G667="","",ROUNDUP(G667*3,0))</x:f>
        <x:v>36000</x:v>
      </x:c>
      <x:c r="I667" s="41" t="n">
        <x:v>1</x:v>
      </x:c>
      <x:c r="J667" s="42" t="n">
        <x:v>77</x:v>
      </x:c>
      <x:c r="K667" s="42" t="n">
        <x:v>59</x:v>
      </x:c>
      <x:c r="L667" s="42" t="n">
        <x:v>50</x:v>
      </x:c>
      <x:c r="M667" s="42" t="n">
        <x:v>67</x:v>
      </x:c>
      <x:c r="N667" s="42" t="n">
        <x:v>63</x:v>
      </x:c>
      <x:c r="O667" s="42" t="n">
        <x:v>46</x:v>
      </x:c>
      <x:c r="P667" s="43" t="n">
        <x:f>IF(COUNT(J667:O667)=0,"",SUM(J667:O667))</x:f>
        <x:v>362</x:v>
      </x:c>
      <x:c r="Q667" s="23" t="str">
        <x:v>1 lignes de spawn</x:v>
      </x:c>
      <x:c r="R667" s="23" t="str">
        <x:v>Ce Pokémon ancien a été restauré à partir d'une partie de son corps restée prisonnière de la glace pendant plus de 100 millions d'années.</x:v>
      </x:c>
      <x:c r="S667" s="23" t="str"/>
      <x:c r="T667" s="23" t="str">
        <x:v>https://pixelmonmod.com/wiki/Amaura</x:v>
      </x:c>
    </x:row>
    <x:row r="668" ht="54" customHeight="1">
      <x:c r="A668" s="27" t="n">
        <x:v>699</x:v>
      </x:c>
      <x:c r="B668" s="23" t="str">
        <x:v>Dragmara</x:v>
      </x:c>
      <x:c r="C668" s="23" t="str">
        <x:v>Aurorus</x:v>
      </x:c>
      <x:c r="D668" s="23" t="str">
        <x:v>Roche</x:v>
      </x:c>
      <x:c r="E668" s="23" t="str">
        <x:v>Glace</x:v>
      </x:c>
      <x:c r="F668" s="23" t="str">
        <x:v>Ultra Rare</x:v>
      </x:c>
      <x:c r="G668" s="45" t="n">
        <x:v>75000</x:v>
      </x:c>
      <x:c r="H668" s="45" t="n">
        <x:f>IF(G668="","",ROUNDUP(G668*3,0))</x:f>
        <x:v>225000</x:v>
      </x:c>
      <x:c r="I668" s="41" t="n">
        <x:v>1</x:v>
      </x:c>
      <x:c r="J668" s="42" t="n">
        <x:v>123</x:v>
      </x:c>
      <x:c r="K668" s="42" t="n">
        <x:v>77</x:v>
      </x:c>
      <x:c r="L668" s="42" t="n">
        <x:v>72</x:v>
      </x:c>
      <x:c r="M668" s="42" t="n">
        <x:v>99</x:v>
      </x:c>
      <x:c r="N668" s="42" t="n">
        <x:v>92</x:v>
      </x:c>
      <x:c r="O668" s="42" t="n">
        <x:v>58</x:v>
      </x:c>
      <x:c r="P668" s="43" t="n">
        <x:f>IF(COUNT(J668:O668)=0,"",SUM(J668:O668))</x:f>
        <x:v>521</x:v>
      </x:c>
      <x:c r="Q668" s="23" t="str">
        <x:v>1 lignes de spawn</x:v>
      </x:c>
      <x:c r="R668" s="23" t="str">
        <x:v>Les cristaux en forme de diamant sur son corps expulsent de l'air à -150 °C, entourant ses ennemis et les emprisonnant dans la glace.</x:v>
      </x:c>
      <x:c r="S668" s="23" t="str"/>
      <x:c r="T668" s="23" t="str">
        <x:v>https://pixelmonmod.com/wiki/Aurorus</x:v>
      </x:c>
    </x:row>
    <x:row r="669" ht="54" customHeight="1">
      <x:c r="A669" s="27" t="n">
        <x:v>700</x:v>
      </x:c>
      <x:c r="B669" s="23" t="str">
        <x:v>Nymphali</x:v>
      </x:c>
      <x:c r="C669" s="23" t="str">
        <x:v>Sylveon</x:v>
      </x:c>
      <x:c r="D669" s="23" t="str">
        <x:v>Fée</x:v>
      </x:c>
      <x:c r="E669" s="23" t="str"/>
      <x:c r="F669" s="23" t="str">
        <x:v>Ultra Rare</x:v>
      </x:c>
      <x:c r="G669" s="45" t="n">
        <x:v>75000</x:v>
      </x:c>
      <x:c r="H669" s="45" t="n">
        <x:f>IF(G669="","",ROUNDUP(G669*3,0))</x:f>
        <x:v>225000</x:v>
      </x:c>
      <x:c r="I669" s="41" t="n">
        <x:v>1</x:v>
      </x:c>
      <x:c r="J669" s="42" t="n">
        <x:v>95</x:v>
      </x:c>
      <x:c r="K669" s="42" t="n">
        <x:v>65</x:v>
      </x:c>
      <x:c r="L669" s="42" t="n">
        <x:v>65</x:v>
      </x:c>
      <x:c r="M669" s="42" t="n">
        <x:v>110</x:v>
      </x:c>
      <x:c r="N669" s="42" t="n">
        <x:v>130</x:v>
      </x:c>
      <x:c r="O669" s="42" t="n">
        <x:v>60</x:v>
      </x:c>
      <x:c r="P669" s="43" t="n">
        <x:f>IF(COUNT(J669:O669)=0,"",SUM(J669:O669))</x:f>
        <x:v>525</x:v>
      </x:c>
      <x:c r="Q669" s="23" t="str">
        <x:v>2 lignes de spawn</x:v>
      </x:c>
      <x:c r="R669" s="23" t="str">
        <x:v>Il envoie une aura apaisante depuis ses rubans pour calmer les conflits.</x:v>
      </x:c>
      <x:c r="S669" s="23" t="str"/>
      <x:c r="T669" s="23" t="str">
        <x:v>https://pixelmonmod.com/wiki/Sylveon</x:v>
      </x:c>
    </x:row>
    <x:row r="670" ht="54" customHeight="1">
      <x:c r="A670" s="27" t="n">
        <x:v>701</x:v>
      </x:c>
      <x:c r="B670" s="23" t="str">
        <x:v>Brutalibré</x:v>
      </x:c>
      <x:c r="C670" s="23" t="str">
        <x:v>Hawlucha</x:v>
      </x:c>
      <x:c r="D670" s="23" t="str">
        <x:v>Combat</x:v>
      </x:c>
      <x:c r="E670" s="23" t="str">
        <x:v>Vol</x:v>
      </x:c>
      <x:c r="F670" s="23" t="str">
        <x:v>Rare</x:v>
      </x:c>
      <x:c r="G670" s="45" t="n">
        <x:v>12000</x:v>
      </x:c>
      <x:c r="H670" s="45" t="n">
        <x:f>IF(G670="","",ROUNDUP(G670*3,0))</x:f>
        <x:v>36000</x:v>
      </x:c>
      <x:c r="I670" s="41" t="n">
        <x:v>1</x:v>
      </x:c>
      <x:c r="J670" s="42" t="n">
        <x:v>78</x:v>
      </x:c>
      <x:c r="K670" s="42" t="n">
        <x:v>92</x:v>
      </x:c>
      <x:c r="L670" s="42" t="n">
        <x:v>75</x:v>
      </x:c>
      <x:c r="M670" s="42" t="n">
        <x:v>74</x:v>
      </x:c>
      <x:c r="N670" s="42" t="n">
        <x:v>63</x:v>
      </x:c>
      <x:c r="O670" s="42" t="n">
        <x:v>118</x:v>
      </x:c>
      <x:c r="P670" s="43" t="n">
        <x:f>IF(COUNT(J670:O670)=0,"",SUM(J670:O670))</x:f>
        <x:v>500</x:v>
      </x:c>
      <x:c r="Q670" s="23" t="str">
        <x:v>2 lignes de spawn</x:v>
      </x:c>
      <x:c r="R670" s="23" t="str">
        <x:v>Bien que son corps soit petit, ses talents de combattant lui permettent de rivaliser avec de grands cogneurs comme Mackogneur ou Hariyama.</x:v>
      </x:c>
      <x:c r="S670" s="23" t="str"/>
      <x:c r="T670" s="23" t="str">
        <x:v>https://pixelmonmod.com/wiki/Hawlucha</x:v>
      </x:c>
    </x:row>
    <x:row r="671" ht="54" customHeight="1">
      <x:c r="A671" s="27" t="n">
        <x:v>702</x:v>
      </x:c>
      <x:c r="B671" s="23" t="str">
        <x:v>Dedenne</x:v>
      </x:c>
      <x:c r="C671" s="23" t="str">
        <x:v>Dedenne</x:v>
      </x:c>
      <x:c r="D671" s="23" t="str">
        <x:v>Électrik</x:v>
      </x:c>
      <x:c r="E671" s="23" t="str">
        <x:v>Fée</x:v>
      </x:c>
      <x:c r="F671" s="23" t="str">
        <x:v>Uncommon</x:v>
      </x:c>
      <x:c r="G671" s="45" t="n">
        <x:v>5000</x:v>
      </x:c>
      <x:c r="H671" s="45" t="n">
        <x:f>IF(G671="","",ROUNDUP(G671*3,0))</x:f>
        <x:v>15000</x:v>
      </x:c>
      <x:c r="I671" s="41" t="n">
        <x:v>1</x:v>
      </x:c>
      <x:c r="J671" s="42" t="n">
        <x:v>67</x:v>
      </x:c>
      <x:c r="K671" s="42" t="n">
        <x:v>58</x:v>
      </x:c>
      <x:c r="L671" s="42" t="n">
        <x:v>57</x:v>
      </x:c>
      <x:c r="M671" s="42" t="n">
        <x:v>81</x:v>
      </x:c>
      <x:c r="N671" s="42" t="n">
        <x:v>67</x:v>
      </x:c>
      <x:c r="O671" s="42" t="n">
        <x:v>101</x:v>
      </x:c>
      <x:c r="P671" s="43" t="n">
        <x:f>IF(COUNT(J671:O671)=0,"",SUM(J671:O671))</x:f>
        <x:v>431</x:v>
      </x:c>
      <x:c r="Q671" s="23" t="str">
        <x:v>2 lignes de spawn</x:v>
      </x:c>
      <x:c r="R671" s="23" t="str">
        <x:v>Ses moustaches servent d'antennes. En émettant et en recevant des ondes électriques, il peut communiquer avec d'autres même sur de très grandes distances.</x:v>
      </x:c>
      <x:c r="S671" s="23" t="str"/>
      <x:c r="T671" s="23" t="str">
        <x:v>https://pixelmonmod.com/wiki/Dedenne</x:v>
      </x:c>
    </x:row>
    <x:row r="672" ht="54" customHeight="1">
      <x:c r="A672" s="27" t="n">
        <x:v>703</x:v>
      </x:c>
      <x:c r="B672" s="23" t="str">
        <x:v>Strassie</x:v>
      </x:c>
      <x:c r="C672" s="23" t="str">
        <x:v>Carbink</x:v>
      </x:c>
      <x:c r="D672" s="23" t="str">
        <x:v>Roche</x:v>
      </x:c>
      <x:c r="E672" s="23" t="str">
        <x:v>Fée</x:v>
      </x:c>
      <x:c r="F672" s="23" t="str">
        <x:v>Uncommon</x:v>
      </x:c>
      <x:c r="G672" s="45" t="n">
        <x:v>5000</x:v>
      </x:c>
      <x:c r="H672" s="45" t="n">
        <x:f>IF(G672="","",ROUNDUP(G672*3,0))</x:f>
        <x:v>15000</x:v>
      </x:c>
      <x:c r="I672" s="41" t="n">
        <x:v>0.8</x:v>
      </x:c>
      <x:c r="J672" s="42" t="n">
        <x:v>50</x:v>
      </x:c>
      <x:c r="K672" s="42" t="n">
        <x:v>50</x:v>
      </x:c>
      <x:c r="L672" s="42" t="n">
        <x:v>150</x:v>
      </x:c>
      <x:c r="M672" s="42" t="n">
        <x:v>50</x:v>
      </x:c>
      <x:c r="N672" s="42" t="n">
        <x:v>150</x:v>
      </x:c>
      <x:c r="O672" s="42" t="n">
        <x:v>50</x:v>
      </x:c>
      <x:c r="P672" s="43" t="n">
        <x:f>IF(COUNT(J672:O672)=0,"",SUM(J672:O672))</x:f>
        <x:v>500</x:v>
      </x:c>
      <x:c r="Q672" s="23" t="str">
        <x:v>5 lignes de spawn</x:v>
      </x:c>
      <x:c r="R672" s="23" t="str">
        <x:v>Né sous l'effet des pressions et températures extrêmes souterraines, il tire des rayons du joyau incrusté dans sa tête.</x:v>
      </x:c>
      <x:c r="S672" s="23" t="str"/>
      <x:c r="T672" s="23" t="str">
        <x:v>https://pixelmonmod.com/wiki/Carbink</x:v>
      </x:c>
    </x:row>
    <x:row r="673" ht="54" customHeight="1">
      <x:c r="A673" s="27" t="n">
        <x:v>704</x:v>
      </x:c>
      <x:c r="B673" s="23" t="str">
        <x:v>Mucuscule</x:v>
      </x:c>
      <x:c r="C673" s="23" t="str">
        <x:v>Goomy</x:v>
      </x:c>
      <x:c r="D673" s="23" t="str">
        <x:v>Dragon</x:v>
      </x:c>
      <x:c r="E673" s="23" t="str"/>
      <x:c r="F673" s="23" t="str">
        <x:v>Uncommon</x:v>
      </x:c>
      <x:c r="G673" s="45" t="n">
        <x:v>5000</x:v>
      </x:c>
      <x:c r="H673" s="45" t="n">
        <x:f>IF(G673="","",ROUNDUP(G673*3,0))</x:f>
        <x:v>15000</x:v>
      </x:c>
      <x:c r="I673" s="41" t="n">
        <x:v>1</x:v>
      </x:c>
      <x:c r="J673" s="42" t="n">
        <x:v>45</x:v>
      </x:c>
      <x:c r="K673" s="42" t="n">
        <x:v>50</x:v>
      </x:c>
      <x:c r="L673" s="42" t="n">
        <x:v>35</x:v>
      </x:c>
      <x:c r="M673" s="42" t="n">
        <x:v>55</x:v>
      </x:c>
      <x:c r="N673" s="42" t="n">
        <x:v>75</x:v>
      </x:c>
      <x:c r="O673" s="42" t="n">
        <x:v>40</x:v>
      </x:c>
      <x:c r="P673" s="43" t="n">
        <x:f>IF(COUNT(J673:O673)=0,"",SUM(J673:O673))</x:f>
        <x:v>300</x:v>
      </x:c>
      <x:c r="Q673" s="23" t="str">
        <x:v>1 lignes de spawn</x:v>
      </x:c>
      <x:c r="R673" s="23" t="str">
        <x:v>Le Pokémon de type Dragon le plus faible ; il vit dans des endroits humides et ombragés pour éviter que son corps ne se dessèche.</x:v>
      </x:c>
      <x:c r="S673" s="23" t="str"/>
      <x:c r="T673" s="23" t="str">
        <x:v>https://pixelmonmod.com/wiki/Goomy</x:v>
      </x:c>
    </x:row>
    <x:row r="674" ht="54" customHeight="1">
      <x:c r="A674" s="27" t="n">
        <x:v>705</x:v>
      </x:c>
      <x:c r="B674" s="23" t="str">
        <x:v>Colimucus</x:v>
      </x:c>
      <x:c r="C674" s="23" t="str">
        <x:v>Sliggoo</x:v>
      </x:c>
      <x:c r="D674" s="23" t="str">
        <x:v>Dragon</x:v>
      </x:c>
      <x:c r="E674" s="23" t="str"/>
      <x:c r="F674" s="23" t="str">
        <x:v>Ultra Rare</x:v>
      </x:c>
      <x:c r="G674" s="45" t="n">
        <x:v>75000</x:v>
      </x:c>
      <x:c r="H674" s="45" t="n">
        <x:f>IF(G674="","",ROUNDUP(G674*3,0))</x:f>
        <x:v>225000</x:v>
      </x:c>
      <x:c r="I674" s="41" t="n">
        <x:v>1</x:v>
      </x:c>
      <x:c r="J674" s="42" t="n">
        <x:v>68</x:v>
      </x:c>
      <x:c r="K674" s="42" t="n">
        <x:v>75</x:v>
      </x:c>
      <x:c r="L674" s="42" t="n">
        <x:v>53</x:v>
      </x:c>
      <x:c r="M674" s="42" t="n">
        <x:v>83</x:v>
      </x:c>
      <x:c r="N674" s="42" t="n">
        <x:v>113</x:v>
      </x:c>
      <x:c r="O674" s="42" t="n">
        <x:v>60</x:v>
      </x:c>
      <x:c r="P674" s="43" t="n">
        <x:f>IF(COUNT(J674:O674)=0,"",SUM(J674:O674))</x:f>
        <x:v>452</x:v>
      </x:c>
      <x:c r="Q674" s="23" t="str">
        <x:v>2 lignes de spawn</x:v>
      </x:c>
      <x:c r="R674" s="23" t="str">
        <x:v>Il repousse ses ennemis en sécrétant un liquide gluant capable de dissoudre n'importe quoi. Ses yeux ont régressé, ce qui l'empêche de voir.</x:v>
      </x:c>
      <x:c r="S674" s="23" t="str"/>
      <x:c r="T674" s="23" t="str">
        <x:v>https://pixelmonmod.com/wiki/Sliggoo</x:v>
      </x:c>
    </x:row>
    <x:row r="675" ht="54" customHeight="1">
      <x:c r="A675" s="27" t="n">
        <x:v>706</x:v>
      </x:c>
      <x:c r="B675" s="23" t="str">
        <x:v>Muplodocus</x:v>
      </x:c>
      <x:c r="C675" s="23" t="str">
        <x:v>Goodra</x:v>
      </x:c>
      <x:c r="D675" s="23" t="str">
        <x:v>Dragon</x:v>
      </x:c>
      <x:c r="E675" s="23" t="str"/>
      <x:c r="F675" s="23" t="str">
        <x:v>Ultra Rare</x:v>
      </x:c>
      <x:c r="G675" s="45" t="n">
        <x:v>75000</x:v>
      </x:c>
      <x:c r="H675" s="45" t="n">
        <x:f>IF(G675="","",ROUNDUP(G675*3,0))</x:f>
        <x:v>225000</x:v>
      </x:c>
      <x:c r="I675" s="41" t="n">
        <x:v>1</x:v>
      </x:c>
      <x:c r="J675" s="42" t="n">
        <x:v>90</x:v>
      </x:c>
      <x:c r="K675" s="42" t="n">
        <x:v>100</x:v>
      </x:c>
      <x:c r="L675" s="42" t="n">
        <x:v>70</x:v>
      </x:c>
      <x:c r="M675" s="42" t="n">
        <x:v>110</x:v>
      </x:c>
      <x:c r="N675" s="42" t="n">
        <x:v>150</x:v>
      </x:c>
      <x:c r="O675" s="42" t="n">
        <x:v>80</x:v>
      </x:c>
      <x:c r="P675" s="43" t="n">
        <x:f>IF(COUNT(J675:O675)=0,"",SUM(J675:O675))</x:f>
        <x:v>600</x:v>
      </x:c>
      <x:c r="Q675" s="23" t="str">
        <x:v>2 lignes de spawn</x:v>
      </x:c>
      <x:c r="R675" s="23" t="str">
        <x:v>Ce très amical Pokémon Dragon enlace son Dresseur bien-aimé, le couvrant de sa bave collante.</x:v>
      </x:c>
      <x:c r="S675" s="23" t="str"/>
      <x:c r="T675" s="23" t="str">
        <x:v>https://pixelmonmod.com/wiki/Goodra</x:v>
      </x:c>
    </x:row>
    <x:row r="676" ht="54" customHeight="1">
      <x:c r="A676" s="27" t="n">
        <x:v>707</x:v>
      </x:c>
      <x:c r="B676" s="23" t="str">
        <x:v>Trousselin</x:v>
      </x:c>
      <x:c r="C676" s="23" t="str">
        <x:v>Klefki</x:v>
      </x:c>
      <x:c r="D676" s="23" t="str">
        <x:v>Acier</x:v>
      </x:c>
      <x:c r="E676" s="23" t="str">
        <x:v>Fée</x:v>
      </x:c>
      <x:c r="F676" s="23" t="str">
        <x:v>Rare</x:v>
      </x:c>
      <x:c r="G676" s="45" t="n">
        <x:v>12000</x:v>
      </x:c>
      <x:c r="H676" s="45" t="n">
        <x:f>IF(G676="","",ROUNDUP(G676*3,0))</x:f>
        <x:v>36000</x:v>
      </x:c>
      <x:c r="I676" s="41" t="n">
        <x:v>1</x:v>
      </x:c>
      <x:c r="J676" s="42" t="n">
        <x:v>57</x:v>
      </x:c>
      <x:c r="K676" s="42" t="n">
        <x:v>80</x:v>
      </x:c>
      <x:c r="L676" s="42" t="n">
        <x:v>91</x:v>
      </x:c>
      <x:c r="M676" s="42" t="n">
        <x:v>80</x:v>
      </x:c>
      <x:c r="N676" s="42" t="n">
        <x:v>87</x:v>
      </x:c>
      <x:c r="O676" s="42" t="n">
        <x:v>75</x:v>
      </x:c>
      <x:c r="P676" s="43" t="n">
        <x:f>IF(COUNT(J676:O676)=0,"",SUM(J676:O676))</x:f>
        <x:v>470</x:v>
      </x:c>
      <x:c r="Q676" s="23" t="str">
        <x:v>2 lignes de spawn</x:v>
      </x:c>
      <x:c r="R676" s="23" t="str">
        <x:v>Ces collectionneurs de clés menacent leurs agresseurs en agitant férocement leurs trousseaux.</x:v>
      </x:c>
      <x:c r="S676" s="23" t="str"/>
      <x:c r="T676" s="23" t="str">
        <x:v>https://pixelmonmod.com/wiki/Klefki</x:v>
      </x:c>
    </x:row>
    <x:row r="677" ht="54" customHeight="1">
      <x:c r="A677" s="27" t="n">
        <x:v>708</x:v>
      </x:c>
      <x:c r="B677" s="23" t="str">
        <x:v>Brocéliande</x:v>
      </x:c>
      <x:c r="C677" s="23" t="str">
        <x:v>Phantump</x:v>
      </x:c>
      <x:c r="D677" s="23" t="str">
        <x:v>Spectre</x:v>
      </x:c>
      <x:c r="E677" s="23" t="str">
        <x:v>Plante</x:v>
      </x:c>
      <x:c r="F677" s="23" t="str">
        <x:v>Uncommon / Rare</x:v>
      </x:c>
      <x:c r="G677" s="45" t="n">
        <x:v>12000</x:v>
      </x:c>
      <x:c r="H677" s="45" t="n">
        <x:f>IF(G677="","",ROUNDUP(G677*3,0))</x:f>
        <x:v>36000</x:v>
      </x:c>
      <x:c r="I677" s="41" t="n">
        <x:v>0.5</x:v>
      </x:c>
      <x:c r="J677" s="42" t="n">
        <x:v>43</x:v>
      </x:c>
      <x:c r="K677" s="42" t="n">
        <x:v>70</x:v>
      </x:c>
      <x:c r="L677" s="42" t="n">
        <x:v>48</x:v>
      </x:c>
      <x:c r="M677" s="42" t="n">
        <x:v>50</x:v>
      </x:c>
      <x:c r="N677" s="42" t="n">
        <x:v>60</x:v>
      </x:c>
      <x:c r="O677" s="42" t="n">
        <x:v>38</x:v>
      </x:c>
      <x:c r="P677" s="43" t="n">
        <x:f>IF(COUNT(J677:O677)=0,"",SUM(J677:O677))</x:f>
        <x:v>309</x:v>
      </x:c>
      <x:c r="Q677" s="23" t="str">
        <x:v>4 lignes de spawn</x:v>
      </x:c>
      <x:c r="R677" s="23" t="str">
        <x:v>Ces Pokémon naissent lorsqu'un esprit possède une souche d'arbre pourrie. Ils préfèrent vivre dans les forêts abandonnées.</x:v>
      </x:c>
      <x:c r="S677" s="23" t="str">
        <x:v>Égalité de fréquence; prix provisoire basé sur le palier le plus élevé.</x:v>
      </x:c>
      <x:c r="T677" s="23" t="str">
        <x:v>https://pixelmonmod.com/wiki/Phantump</x:v>
      </x:c>
    </x:row>
    <x:row r="678" ht="54" customHeight="1">
      <x:c r="A678" s="27" t="n">
        <x:v>709</x:v>
      </x:c>
      <x:c r="B678" s="23" t="str">
        <x:v>Desséliande</x:v>
      </x:c>
      <x:c r="C678" s="23" t="str">
        <x:v>Trevenant</x:v>
      </x:c>
      <x:c r="D678" s="23" t="str">
        <x:v>Spectre</x:v>
      </x:c>
      <x:c r="E678" s="23" t="str">
        <x:v>Plante</x:v>
      </x:c>
      <x:c r="F678" s="23" t="str">
        <x:v>Ultra Rare</x:v>
      </x:c>
      <x:c r="G678" s="45" t="n">
        <x:v>75000</x:v>
      </x:c>
      <x:c r="H678" s="45" t="n">
        <x:f>IF(G678="","",ROUNDUP(G678*3,0))</x:f>
        <x:v>225000</x:v>
      </x:c>
      <x:c r="I678" s="41" t="n">
        <x:v>1</x:v>
      </x:c>
      <x:c r="J678" s="42" t="n">
        <x:v>85</x:v>
      </x:c>
      <x:c r="K678" s="42" t="n">
        <x:v>110</x:v>
      </x:c>
      <x:c r="L678" s="42" t="n">
        <x:v>76</x:v>
      </x:c>
      <x:c r="M678" s="42" t="n">
        <x:v>65</x:v>
      </x:c>
      <x:c r="N678" s="42" t="n">
        <x:v>82</x:v>
      </x:c>
      <x:c r="O678" s="42" t="n">
        <x:v>56</x:v>
      </x:c>
      <x:c r="P678" s="43" t="n">
        <x:f>IF(COUNT(J678:O678)=0,"",SUM(J678:O678))</x:f>
        <x:v>474</x:v>
      </x:c>
      <x:c r="Q678" s="23" t="str">
        <x:v>1 lignes de spawn</x:v>
      </x:c>
      <x:c r="R678" s="23" t="str">
        <x:v>Il peut contrôler les arbres à volonté. Il piège les personnes qui nuisent à la forêt afin qu'elles ne puissent jamais partir.</x:v>
      </x:c>
      <x:c r="S678" s="23" t="str"/>
      <x:c r="T678" s="23" t="str">
        <x:v>https://pixelmonmod.com/wiki/Trevenant</x:v>
      </x:c>
    </x:row>
    <x:row r="679" ht="54" customHeight="1">
      <x:c r="A679" s="27" t="n">
        <x:v>710</x:v>
      </x:c>
      <x:c r="B679" s="23" t="str">
        <x:v>Pitrouille</x:v>
      </x:c>
      <x:c r="C679" s="23" t="str">
        <x:v>Pumpkaboo</x:v>
      </x:c>
      <x:c r="D679" s="23" t="str">
        <x:v>Spectre</x:v>
      </x:c>
      <x:c r="E679" s="23" t="str">
        <x:v>Plante</x:v>
      </x:c>
      <x:c r="F679" s="23" t="str">
        <x:v>Uncommon</x:v>
      </x:c>
      <x:c r="G679" s="45" t="n">
        <x:v>5000</x:v>
      </x:c>
      <x:c r="H679" s="45" t="n">
        <x:f>IF(G679="","",ROUNDUP(G679*3,0))</x:f>
        <x:v>15000</x:v>
      </x:c>
      <x:c r="I679" s="41" t="n">
        <x:v>0.75</x:v>
      </x:c>
      <x:c r="J679" s="42" t="n">
        <x:v>44</x:v>
      </x:c>
      <x:c r="K679" s="42" t="n">
        <x:v>66</x:v>
      </x:c>
      <x:c r="L679" s="42" t="n">
        <x:v>70</x:v>
      </x:c>
      <x:c r="M679" s="42" t="n">
        <x:v>44</x:v>
      </x:c>
      <x:c r="N679" s="42" t="n">
        <x:v>55</x:v>
      </x:c>
      <x:c r="O679" s="42" t="n">
        <x:v>56</x:v>
      </x:c>
      <x:c r="P679" s="43" t="n">
        <x:f>IF(COUNT(J679:O679)=0,"",SUM(J679:O679))</x:f>
        <x:v>335</x:v>
      </x:c>
      <x:c r="Q679" s="23" t="str">
        <x:v>8 lignes de spawn</x:v>
      </x:c>
      <x:c r="R679" s="23" t="str">
        <x:v>Son corps en forme de citrouille est habité par un esprit coincé dans ce monde. Au coucher du soleil, il devient agité et actif.</x:v>
      </x:c>
      <x:c r="S679" s="23" t="str"/>
      <x:c r="T679" s="23" t="str">
        <x:v>https://pixelmonmod.com/wiki/Pumpkaboo</x:v>
      </x:c>
    </x:row>
    <x:row r="680" ht="54" customHeight="1">
      <x:c r="A680" s="27" t="n">
        <x:v>711</x:v>
      </x:c>
      <x:c r="B680" s="23" t="str">
        <x:v>Banshitrouye</x:v>
      </x:c>
      <x:c r="C680" s="23" t="str">
        <x:v>Gourgeist</x:v>
      </x:c>
      <x:c r="D680" s="23" t="str">
        <x:v>Spectre</x:v>
      </x:c>
      <x:c r="E680" s="23" t="str">
        <x:v>Plante</x:v>
      </x:c>
      <x:c r="F680" s="23" t="str">
        <x:v>Ultra Rare</x:v>
      </x:c>
      <x:c r="G680" s="45" t="n">
        <x:v>75000</x:v>
      </x:c>
      <x:c r="H680" s="45" t="n">
        <x:f>IF(G680="","",ROUNDUP(G680*3,0))</x:f>
        <x:v>225000</x:v>
      </x:c>
      <x:c r="I680" s="41" t="n">
        <x:v>1</x:v>
      </x:c>
      <x:c r="J680" s="42" t="n">
        <x:v>55</x:v>
      </x:c>
      <x:c r="K680" s="42" t="n">
        <x:v>85</x:v>
      </x:c>
      <x:c r="L680" s="42" t="n">
        <x:v>122</x:v>
      </x:c>
      <x:c r="M680" s="42" t="n">
        <x:v>58</x:v>
      </x:c>
      <x:c r="N680" s="42" t="n">
        <x:v>75</x:v>
      </x:c>
      <x:c r="O680" s="42" t="n">
        <x:v>99</x:v>
      </x:c>
      <x:c r="P680" s="43" t="n">
        <x:f>IF(COUNT(J680:O680)=0,"",SUM(J680:O680))</x:f>
        <x:v>494</x:v>
      </x:c>
      <x:c r="Q680" s="23" t="str">
        <x:v>1 lignes de spawn</x:v>
      </x:c>
      <x:c r="R680" s="23" t="str">
        <x:v>Elles déambulent dans les rues la nuit de la nouvelle lune en chantant d'étranges mélodies. Qiconque entend leur chant est maudit.</x:v>
      </x:c>
      <x:c r="S680" s="23" t="str"/>
      <x:c r="T680" s="23" t="str">
        <x:v>https://pixelmonmod.com/wiki/Gourgeist</x:v>
      </x:c>
    </x:row>
    <x:row r="681" ht="54" customHeight="1">
      <x:c r="A681" s="27" t="n">
        <x:v>712</x:v>
      </x:c>
      <x:c r="B681" s="23" t="str">
        <x:v>Grelaçon</x:v>
      </x:c>
      <x:c r="C681" s="23" t="str">
        <x:v>Bergmite</x:v>
      </x:c>
      <x:c r="D681" s="23" t="str">
        <x:v>Glace</x:v>
      </x:c>
      <x:c r="E681" s="23" t="str"/>
      <x:c r="F681" s="23" t="str">
        <x:v>Uncommon</x:v>
      </x:c>
      <x:c r="G681" s="45" t="n">
        <x:v>5000</x:v>
      </x:c>
      <x:c r="H681" s="45" t="n">
        <x:f>IF(G681="","",ROUNDUP(G681*3,0))</x:f>
        <x:v>15000</x:v>
      </x:c>
      <x:c r="I681" s="41" t="n">
        <x:v>1</x:v>
      </x:c>
      <x:c r="J681" s="42" t="n">
        <x:v>55</x:v>
      </x:c>
      <x:c r="K681" s="42" t="n">
        <x:v>69</x:v>
      </x:c>
      <x:c r="L681" s="42" t="n">
        <x:v>85</x:v>
      </x:c>
      <x:c r="M681" s="42" t="n">
        <x:v>32</x:v>
      </x:c>
      <x:c r="N681" s="42" t="n">
        <x:v>35</x:v>
      </x:c>
      <x:c r="O681" s="42" t="n">
        <x:v>28</x:v>
      </x:c>
      <x:c r="P681" s="43" t="n">
        <x:f>IF(COUNT(J681:O681)=0,"",SUM(J681:O681))</x:f>
        <x:v>304</x:v>
      </x:c>
      <x:c r="Q681" s="23" t="str">
        <x:v>10 lignes de spawn</x:v>
      </x:c>
      <x:c r="R681" s="23" t="str">
        <x:v>Il bloque les attaques de ses adversaires avec la couche de glace recouvrant son corps. Il utilise de l'air glacial pour réparer les fissures en créant de la nouvelle glace.</x:v>
      </x:c>
      <x:c r="S681" s="23" t="str"/>
      <x:c r="T681" s="23" t="str">
        <x:v>https://pixelmonmod.com/wiki/Bergmite</x:v>
      </x:c>
    </x:row>
    <x:row r="682" ht="54" customHeight="1">
      <x:c r="A682" s="27" t="n">
        <x:v>713</x:v>
      </x:c>
      <x:c r="B682" s="23" t="str">
        <x:v>Séracrawl</x:v>
      </x:c>
      <x:c r="C682" s="23" t="str">
        <x:v>Avalugg</x:v>
      </x:c>
      <x:c r="D682" s="23" t="str">
        <x:v>Glace</x:v>
      </x:c>
      <x:c r="E682" s="23" t="str"/>
      <x:c r="F682" s="23" t="str">
        <x:v>Ultra Rare</x:v>
      </x:c>
      <x:c r="G682" s="45" t="n">
        <x:v>75000</x:v>
      </x:c>
      <x:c r="H682" s="45" t="n">
        <x:f>IF(G682="","",ROUNDUP(G682*3,0))</x:f>
        <x:v>225000</x:v>
      </x:c>
      <x:c r="I682" s="41" t="n">
        <x:v>1</x:v>
      </x:c>
      <x:c r="J682" s="42" t="n">
        <x:v>95</x:v>
      </x:c>
      <x:c r="K682" s="42" t="n">
        <x:v>117</x:v>
      </x:c>
      <x:c r="L682" s="42" t="n">
        <x:v>184</x:v>
      </x:c>
      <x:c r="M682" s="42" t="n">
        <x:v>44</x:v>
      </x:c>
      <x:c r="N682" s="42" t="n">
        <x:v>46</x:v>
      </x:c>
      <x:c r="O682" s="42" t="n">
        <x:v>28</x:v>
      </x:c>
      <x:c r="P682" s="43" t="n">
        <x:f>IF(COUNT(J682:O682)=0,"",SUM(J682:O682))</x:f>
        <x:v>514</x:v>
      </x:c>
      <x:c r="Q682" s="23" t="str">
        <x:v>18 lignes de spawn</x:v>
      </x:c>
      <x:c r="R682" s="23" t="str">
        <x:v>Sa carapace glacée est aussi dure que l'acier. Son corps massif écrase tout ce qui se trouve sur son passage.</x:v>
      </x:c>
      <x:c r="S682" s="23" t="str"/>
      <x:c r="T682" s="23" t="str">
        <x:v>https://pixelmonmod.com/wiki/Avalugg</x:v>
      </x:c>
    </x:row>
    <x:row r="683" ht="54" customHeight="1">
      <x:c r="A683" s="27" t="n">
        <x:v>714</x:v>
      </x:c>
      <x:c r="B683" s="23" t="str">
        <x:v>Sonistrelle</x:v>
      </x:c>
      <x:c r="C683" s="23" t="str">
        <x:v>Noibat</x:v>
      </x:c>
      <x:c r="D683" s="23" t="str">
        <x:v>Vol</x:v>
      </x:c>
      <x:c r="E683" s="23" t="str">
        <x:v>Dragon</x:v>
      </x:c>
      <x:c r="F683" s="23" t="str">
        <x:v>Uncommon</x:v>
      </x:c>
      <x:c r="G683" s="45" t="n">
        <x:v>5000</x:v>
      </x:c>
      <x:c r="H683" s="45" t="n">
        <x:f>IF(G683="","",ROUNDUP(G683*3,0))</x:f>
        <x:v>15000</x:v>
      </x:c>
      <x:c r="I683" s="41" t="n">
        <x:v>0.75</x:v>
      </x:c>
      <x:c r="J683" s="42" t="n">
        <x:v>40</x:v>
      </x:c>
      <x:c r="K683" s="42" t="n">
        <x:v>30</x:v>
      </x:c>
      <x:c r="L683" s="42" t="n">
        <x:v>35</x:v>
      </x:c>
      <x:c r="M683" s="42" t="n">
        <x:v>45</x:v>
      </x:c>
      <x:c r="N683" s="42" t="n">
        <x:v>40</x:v>
      </x:c>
      <x:c r="O683" s="42" t="n">
        <x:v>55</x:v>
      </x:c>
      <x:c r="P683" s="43" t="n">
        <x:f>IF(COUNT(J683:O683)=0,"",SUM(J683:O683))</x:f>
        <x:v>245</x:v>
      </x:c>
      <x:c r="Q683" s="23" t="str">
        <x:v>4 lignes de spawn</x:v>
      </x:c>
      <x:c r="R683" s="23" t="str">
        <x:v>Ils vivent dans des grottes plongées dans les ténèbres. Leurs immenses oreilles émettent des ultrasons de 200 000 hertz.</x:v>
      </x:c>
      <x:c r="S683" s="23" t="str"/>
      <x:c r="T683" s="23" t="str">
        <x:v>https://pixelmonmod.com/wiki/Noibat</x:v>
      </x:c>
    </x:row>
    <x:row r="684" ht="54" customHeight="1">
      <x:c r="A684" s="27" t="n">
        <x:v>715</x:v>
      </x:c>
      <x:c r="B684" s="23" t="str">
        <x:v>Bruyverne</x:v>
      </x:c>
      <x:c r="C684" s="23" t="str">
        <x:v>Noivern</x:v>
      </x:c>
      <x:c r="D684" s="23" t="str">
        <x:v>Vol</x:v>
      </x:c>
      <x:c r="E684" s="23" t="str">
        <x:v>Dragon</x:v>
      </x:c>
      <x:c r="F684" s="23" t="str">
        <x:v>Ultra Rare</x:v>
      </x:c>
      <x:c r="G684" s="45" t="n">
        <x:v>75000</x:v>
      </x:c>
      <x:c r="H684" s="45" t="n">
        <x:f>IF(G684="","",ROUNDUP(G684*3,0))</x:f>
        <x:v>225000</x:v>
      </x:c>
      <x:c r="I684" s="41" t="n">
        <x:v>0.75</x:v>
      </x:c>
      <x:c r="J684" s="42" t="n">
        <x:v>85</x:v>
      </x:c>
      <x:c r="K684" s="42" t="n">
        <x:v>70</x:v>
      </x:c>
      <x:c r="L684" s="42" t="n">
        <x:v>80</x:v>
      </x:c>
      <x:c r="M684" s="42" t="n">
        <x:v>97</x:v>
      </x:c>
      <x:c r="N684" s="42" t="n">
        <x:v>80</x:v>
      </x:c>
      <x:c r="O684" s="42" t="n">
        <x:v>123</x:v>
      </x:c>
      <x:c r="P684" s="43" t="n">
        <x:f>IF(COUNT(J684:O684)=0,"",SUM(J684:O684))</x:f>
        <x:v>535</x:v>
      </x:c>
      <x:c r="Q684" s="23" t="str">
        <x:v>4 lignes de spawn</x:v>
      </x:c>
      <x:c r="R684" s="23" t="str">
        <x:v>Ils volent durant les nuits sans lune et attaquent les proies imprudentes. Rien ne peut les battre dans un combat dans l'obscurité.</x:v>
      </x:c>
      <x:c r="S684" s="23" t="str"/>
      <x:c r="T684" s="23" t="str">
        <x:v>https://pixelmonmod.com/wiki/Noivern</x:v>
      </x:c>
    </x:row>
    <x:row r="685" ht="54" customHeight="1">
      <x:c r="A685" s="27" t="n">
        <x:v>719</x:v>
      </x:c>
      <x:c r="B685" s="23" t="str">
        <x:v>Diancie</x:v>
      </x:c>
      <x:c r="C685" s="23" t="str">
        <x:v>Diancie</x:v>
      </x:c>
      <x:c r="D685" s="23" t="str">
        <x:v>Roche</x:v>
      </x:c>
      <x:c r="E685" s="23" t="str">
        <x:v>Fée</x:v>
      </x:c>
      <x:c r="F685" s="23" t="str">
        <x:v>Non classé</x:v>
      </x:c>
      <x:c r="G685" s="45"/>
      <x:c r="H685" s="45" t="str">
        <x:f>IF(G685="","",ROUNDUP(G685*3,0))</x:f>
      </x:c>
      <x:c r="I685" s="41"/>
      <x:c r="J685" s="42" t="n">
        <x:v>50</x:v>
      </x:c>
      <x:c r="K685" s="42" t="n">
        <x:v>100</x:v>
      </x:c>
      <x:c r="L685" s="42" t="n">
        <x:v>150</x:v>
      </x:c>
      <x:c r="M685" s="42" t="n">
        <x:v>100</x:v>
      </x:c>
      <x:c r="N685" s="42" t="n">
        <x:v>150</x:v>
      </x:c>
      <x:c r="O685" s="42" t="n">
        <x:v>50</x:v>
      </x:c>
      <x:c r="P685" s="43" t="n">
        <x:f>IF(COUNT(J685:O685)=0,"",SUM(J685:O685))</x:f>
        <x:v>600</x:v>
      </x:c>
      <x:c r="Q685" s="23" t="str">
        <x:v>Aucune ligne classée</x:v>
      </x:c>
      <x:c r="R685" s="23" t="str">
        <x:v>Une transformation soudaine d'un Strassie. Son corps rose et étincelant serait la plus belle chose au monde.</x:v>
      </x:c>
      <x:c r="S685" s="23" t="str">
        <x:v>Fabuleux : vente et prix à valider.</x:v>
      </x:c>
      <x:c r="T685" s="23" t="str">
        <x:v>https://pixelmonmod.com/wiki/Diancie</x:v>
      </x:c>
    </x:row>
    <x:row r="686" ht="54" customHeight="1">
      <x:c r="A686" s="27" t="n">
        <x:v>720</x:v>
      </x:c>
      <x:c r="B686" s="23" t="str">
        <x:v>Hoopa</x:v>
      </x:c>
      <x:c r="C686" s="23" t="str">
        <x:v>Hoopa</x:v>
      </x:c>
      <x:c r="D686" s="23" t="str">
        <x:v>Psy</x:v>
      </x:c>
      <x:c r="E686" s="23" t="str">
        <x:v>Spectre</x:v>
      </x:c>
      <x:c r="F686" s="23" t="str">
        <x:v>Non classé</x:v>
      </x:c>
      <x:c r="G686" s="45"/>
      <x:c r="H686" s="45" t="str">
        <x:f>IF(G686="","",ROUNDUP(G686*3,0))</x:f>
      </x:c>
      <x:c r="I686" s="41"/>
      <x:c r="J686" s="42" t="n">
        <x:v>80</x:v>
      </x:c>
      <x:c r="K686" s="42" t="n">
        <x:v>110</x:v>
      </x:c>
      <x:c r="L686" s="42" t="n">
        <x:v>60</x:v>
      </x:c>
      <x:c r="M686" s="42" t="n">
        <x:v>150</x:v>
      </x:c>
      <x:c r="N686" s="42" t="n">
        <x:v>130</x:v>
      </x:c>
      <x:c r="O686" s="42" t="n">
        <x:v>70</x:v>
      </x:c>
      <x:c r="P686" s="43" t="n">
        <x:f>IF(COUNT(J686:O686)=0,"",SUM(J686:O686))</x:f>
        <x:v>600</x:v>
      </x:c>
      <x:c r="Q686" s="23" t="str">
        <x:v>Aucune ligne classée</x:v>
      </x:c>
      <x:c r="R686" s="23" t="str">
        <x:v>Sous sa vraie forme, il possède une puissance colossale. Les légendes racontent qu'il déroba jadis un château entier pour s'emparer d'un trésor.</x:v>
      </x:c>
      <x:c r="S686" s="23" t="str">
        <x:v>Fabuleux : vente et prix à valider.</x:v>
      </x:c>
      <x:c r="T686" s="23" t="str">
        <x:v>https://pixelmonmod.com/wiki/Hoopa</x:v>
      </x:c>
    </x:row>
    <x:row r="687" ht="54" customHeight="1">
      <x:c r="A687" s="27" t="n">
        <x:v>721</x:v>
      </x:c>
      <x:c r="B687" s="23" t="str">
        <x:v>Volcanion</x:v>
      </x:c>
      <x:c r="C687" s="23" t="str">
        <x:v>Volcanion</x:v>
      </x:c>
      <x:c r="D687" s="23" t="str">
        <x:v>Feu</x:v>
      </x:c>
      <x:c r="E687" s="23" t="str">
        <x:v>Eau</x:v>
      </x:c>
      <x:c r="F687" s="23" t="str">
        <x:v>Non classé</x:v>
      </x:c>
      <x:c r="G687" s="45"/>
      <x:c r="H687" s="45" t="str">
        <x:f>IF(G687="","",ROUNDUP(G687*3,0))</x:f>
      </x:c>
      <x:c r="I687" s="41"/>
      <x:c r="J687" s="42" t="n">
        <x:v>80</x:v>
      </x:c>
      <x:c r="K687" s="42" t="n">
        <x:v>110</x:v>
      </x:c>
      <x:c r="L687" s="42" t="n">
        <x:v>120</x:v>
      </x:c>
      <x:c r="M687" s="42" t="n">
        <x:v>130</x:v>
      </x:c>
      <x:c r="N687" s="42" t="n">
        <x:v>90</x:v>
      </x:c>
      <x:c r="O687" s="42" t="n">
        <x:v>70</x:v>
      </x:c>
      <x:c r="P687" s="43" t="n">
        <x:f>IF(COUNT(J687:O687)=0,"",SUM(J687:O687))</x:f>
        <x:v>600</x:v>
      </x:c>
      <x:c r="Q687" s="23" t="str">
        <x:v>Aucune ligne classée</x:v>
      </x:c>
      <x:c r="R687" s="23" t="str">
        <x:v>Il libère d'épais nuages de vapeur puis disparaît dans le brouillard dense. On dit qu'il vit dans des montagnes où l'homme ne s'aventure pas.</x:v>
      </x:c>
      <x:c r="S687" s="23" t="str">
        <x:v>Fabuleux : vente et prix à valider.</x:v>
      </x:c>
      <x:c r="T687" s="23" t="str">
        <x:v>https://pixelmonmod.com/wiki/Volcanion</x:v>
      </x:c>
    </x:row>
    <x:row r="688" ht="54" customHeight="1">
      <x:c r="A688" s="27" t="n">
        <x:v>722</x:v>
      </x:c>
      <x:c r="B688" s="23" t="str">
        <x:v>Brindibou</x:v>
      </x:c>
      <x:c r="C688" s="23" t="str">
        <x:v>Rowlet</x:v>
      </x:c>
      <x:c r="D688" s="23" t="str">
        <x:v>Plante</x:v>
      </x:c>
      <x:c r="E688" s="23" t="str">
        <x:v>Vol</x:v>
      </x:c>
      <x:c r="F688" s="23" t="str">
        <x:v>Ultra Rare</x:v>
      </x:c>
      <x:c r="G688" s="45" t="n">
        <x:v>75000</x:v>
      </x:c>
      <x:c r="H688" s="45" t="n">
        <x:f>IF(G688="","",ROUNDUP(G688*3,0))</x:f>
        <x:v>225000</x:v>
      </x:c>
      <x:c r="I688" s="41" t="n">
        <x:v>1</x:v>
      </x:c>
      <x:c r="J688" s="42" t="n">
        <x:v>68</x:v>
      </x:c>
      <x:c r="K688" s="42" t="n">
        <x:v>55</x:v>
      </x:c>
      <x:c r="L688" s="42" t="n">
        <x:v>55</x:v>
      </x:c>
      <x:c r="M688" s="42" t="n">
        <x:v>50</x:v>
      </x:c>
      <x:c r="N688" s="42" t="n">
        <x:v>50</x:v>
      </x:c>
      <x:c r="O688" s="42" t="n">
        <x:v>42</x:v>
      </x:c>
      <x:c r="P688" s="43" t="n">
        <x:f>IF(COUNT(J688:O688)=0,"",SUM(J688:O688))</x:f>
        <x:v>320</x:v>
      </x:c>
      <x:c r="Q688" s="23" t="str">
        <x:v>3 lignes de spawn</x:v>
      </x:c>
      <x:c r="R688" s="23" t="str">
        <x:v>Il lance ses plumes aussi tranchantes que des lames pour attaquer. Ses pattes sont puissantes, et ses coups de pied redoutables.</x:v>
      </x:c>
      <x:c r="S688" s="23" t="str"/>
      <x:c r="T688" s="23" t="str">
        <x:v>https://pixelmonmod.com/wiki/Rowlet</x:v>
      </x:c>
    </x:row>
    <x:row r="689" ht="54" customHeight="1">
      <x:c r="A689" s="27" t="n">
        <x:v>723</x:v>
      </x:c>
      <x:c r="B689" s="23" t="str">
        <x:v>Efflèche</x:v>
      </x:c>
      <x:c r="C689" s="23" t="str">
        <x:v>Dartrix</x:v>
      </x:c>
      <x:c r="D689" s="23" t="str">
        <x:v>Plante</x:v>
      </x:c>
      <x:c r="E689" s="23" t="str">
        <x:v>Vol</x:v>
      </x:c>
      <x:c r="F689" s="23" t="str">
        <x:v>Ultra Rare</x:v>
      </x:c>
      <x:c r="G689" s="45" t="n">
        <x:v>75000</x:v>
      </x:c>
      <x:c r="H689" s="45" t="n">
        <x:f>IF(G689="","",ROUNDUP(G689*3,0))</x:f>
        <x:v>225000</x:v>
      </x:c>
      <x:c r="I689" s="41" t="n">
        <x:v>1</x:v>
      </x:c>
      <x:c r="J689" s="42" t="n">
        <x:v>78</x:v>
      </x:c>
      <x:c r="K689" s="42" t="n">
        <x:v>75</x:v>
      </x:c>
      <x:c r="L689" s="42" t="n">
        <x:v>75</x:v>
      </x:c>
      <x:c r="M689" s="42" t="n">
        <x:v>70</x:v>
      </x:c>
      <x:c r="N689" s="42" t="n">
        <x:v>70</x:v>
      </x:c>
      <x:c r="O689" s="42" t="n">
        <x:v>52</x:v>
      </x:c>
      <x:c r="P689" s="43" t="n">
        <x:f>IF(COUNT(J689:O689)=0,"",SUM(J689:O689))</x:f>
        <x:v>420</x:v>
      </x:c>
      <x:c r="Q689" s="23" t="str">
        <x:v>3 lignes de spawn</x:v>
      </x:c>
      <x:c r="R689" s="23" t="str">
        <x:v>Ce Pokémon narcissique est un vrai maniaque de la propreté. Si vous ne le toilettez pas avec soin, il refusera de vous obéir.</x:v>
      </x:c>
      <x:c r="S689" s="23" t="str"/>
      <x:c r="T689" s="23" t="str">
        <x:v>https://pixelmonmod.com/wiki/Dartrix</x:v>
      </x:c>
    </x:row>
    <x:row r="690" ht="54" customHeight="1">
      <x:c r="A690" s="27" t="n">
        <x:v>724</x:v>
      </x:c>
      <x:c r="B690" s="23" t="str">
        <x:v>Archéduc</x:v>
      </x:c>
      <x:c r="C690" s="23" t="str">
        <x:v>Decidueye</x:v>
      </x:c>
      <x:c r="D690" s="23" t="str">
        <x:v>Plante</x:v>
      </x:c>
      <x:c r="E690" s="23" t="str">
        <x:v>Spectre</x:v>
      </x:c>
      <x:c r="F690" s="23" t="str">
        <x:v>Ultra Rare</x:v>
      </x:c>
      <x:c r="G690" s="45" t="n">
        <x:v>75000</x:v>
      </x:c>
      <x:c r="H690" s="45" t="n">
        <x:f>IF(G690="","",ROUNDUP(G690*3,0))</x:f>
        <x:v>225000</x:v>
      </x:c>
      <x:c r="I690" s="41" t="n">
        <x:v>1</x:v>
      </x:c>
      <x:c r="J690" s="42" t="n">
        <x:v>78</x:v>
      </x:c>
      <x:c r="K690" s="42" t="n">
        <x:v>107</x:v>
      </x:c>
      <x:c r="L690" s="42" t="n">
        <x:v>75</x:v>
      </x:c>
      <x:c r="M690" s="42" t="n">
        <x:v>100</x:v>
      </x:c>
      <x:c r="N690" s="42" t="n">
        <x:v>100</x:v>
      </x:c>
      <x:c r="O690" s="42" t="n">
        <x:v>70</x:v>
      </x:c>
      <x:c r="P690" s="43" t="n">
        <x:f>IF(COUNT(J690:O690)=0,"",SUM(J690:O690))</x:f>
        <x:v>530</x:v>
      </x:c>
      <x:c r="Q690" s="23" t="str">
        <x:v>4 lignes de spawn</x:v>
      </x:c>
      <x:c r="R690" s="23" t="str">
        <x:v>Il encoches ses plumes-flèches et les décoche sur ses adversaires. Lorsqu'il ne peut absolument pas se permettre de rater sa cible, il tire sur la liane de sa tête pour améliorer sa concentration.</x:v>
      </x:c>
      <x:c r="S690" s="23" t="str"/>
      <x:c r="T690" s="23" t="str">
        <x:v>https://pixelmonmod.com/wiki/Decidueye</x:v>
      </x:c>
    </x:row>
    <x:row r="691" ht="54" customHeight="1">
      <x:c r="A691" s="27" t="n">
        <x:v>725</x:v>
      </x:c>
      <x:c r="B691" s="23" t="str">
        <x:v>Flamiaou</x:v>
      </x:c>
      <x:c r="C691" s="23" t="str">
        <x:v>Litten</x:v>
      </x:c>
      <x:c r="D691" s="23" t="str">
        <x:v>Feu</x:v>
      </x:c>
      <x:c r="E691" s="23" t="str"/>
      <x:c r="F691" s="23" t="str">
        <x:v>Ultra Rare</x:v>
      </x:c>
      <x:c r="G691" s="45" t="n">
        <x:v>75000</x:v>
      </x:c>
      <x:c r="H691" s="45" t="n">
        <x:f>IF(G691="","",ROUNDUP(G691*3,0))</x:f>
        <x:v>225000</x:v>
      </x:c>
      <x:c r="I691" s="41" t="n">
        <x:v>0.5379999999999999</x:v>
      </x:c>
      <x:c r="J691" s="42" t="n">
        <x:v>45</x:v>
      </x:c>
      <x:c r="K691" s="42" t="n">
        <x:v>65</x:v>
      </x:c>
      <x:c r="L691" s="42" t="n">
        <x:v>40</x:v>
      </x:c>
      <x:c r="M691" s="42" t="n">
        <x:v>60</x:v>
      </x:c>
      <x:c r="N691" s="42" t="n">
        <x:v>40</x:v>
      </x:c>
      <x:c r="O691" s="42" t="n">
        <x:v>70</x:v>
      </x:c>
      <x:c r="P691" s="43" t="n">
        <x:f>IF(COUNT(J691:O691)=0,"",SUM(J691:O691))</x:f>
        <x:v>320</x:v>
      </x:c>
      <x:c r="Q691" s="23" t="str">
        <x:v>13 lignes de spawn</x:v>
      </x:c>
      <x:c r="R691" s="23" t="str">
        <x:v>Si vous essayez trop ardemment de vous en approcher, il ne s'ouvrira pas à vous. Même si vous vous rapprochez, trop d'affection reste à éviter.</x:v>
      </x:c>
      <x:c r="S691" s="23" t="str"/>
      <x:c r="T691" s="23" t="str">
        <x:v>https://pixelmonmod.com/wiki/Litten</x:v>
      </x:c>
    </x:row>
    <x:row r="692" ht="54" customHeight="1">
      <x:c r="A692" s="27" t="n">
        <x:v>726</x:v>
      </x:c>
      <x:c r="B692" s="23" t="str">
        <x:v>Matoufeu</x:v>
      </x:c>
      <x:c r="C692" s="23" t="str">
        <x:v>Torracat</x:v>
      </x:c>
      <x:c r="D692" s="23" t="str">
        <x:v>Feu</x:v>
      </x:c>
      <x:c r="E692" s="23" t="str"/>
      <x:c r="F692" s="23" t="str">
        <x:v>Ultra Rare</x:v>
      </x:c>
      <x:c r="G692" s="45" t="n">
        <x:v>75000</x:v>
      </x:c>
      <x:c r="H692" s="45" t="n">
        <x:f>IF(G692="","",ROUNDUP(G692*3,0))</x:f>
        <x:v>225000</x:v>
      </x:c>
      <x:c r="I692" s="41" t="n">
        <x:v>1</x:v>
      </x:c>
      <x:c r="J692" s="42" t="n">
        <x:v>65</x:v>
      </x:c>
      <x:c r="K692" s="42" t="n">
        <x:v>85</x:v>
      </x:c>
      <x:c r="L692" s="42" t="n">
        <x:v>50</x:v>
      </x:c>
      <x:c r="M692" s="42" t="n">
        <x:v>80</x:v>
      </x:c>
      <x:c r="N692" s="42" t="n">
        <x:v>50</x:v>
      </x:c>
      <x:c r="O692" s="42" t="n">
        <x:v>90</x:v>
      </x:c>
      <x:c r="P692" s="43" t="n">
        <x:f>IF(COUNT(J692:O692)=0,"",SUM(J692:O692))</x:f>
        <x:v>420</x:v>
      </x:c>
      <x:c r="Q692" s="23" t="str">
        <x:v>1 lignes de spawn</x:v>
      </x:c>
      <x:c r="R692" s="23" t="str">
        <x:v>Il peut devenir capricieux s'il se rapproche trop de son Dresseur. Pokémon puissant, ses griffes acérées peuvent couvrir de griffures tout le corps de son Dresseur.</x:v>
      </x:c>
      <x:c r="S692" s="23" t="str"/>
      <x:c r="T692" s="23" t="str">
        <x:v>https://pixelmonmod.com/wiki/Torracat</x:v>
      </x:c>
    </x:row>
    <x:row r="693" ht="54" customHeight="1">
      <x:c r="A693" s="27" t="n">
        <x:v>727</x:v>
      </x:c>
      <x:c r="B693" s="23" t="str">
        <x:v>Félinferno</x:v>
      </x:c>
      <x:c r="C693" s="23" t="str">
        <x:v>Incineroar</x:v>
      </x:c>
      <x:c r="D693" s="23" t="str">
        <x:v>Feu</x:v>
      </x:c>
      <x:c r="E693" s="23" t="str">
        <x:v>Ténèbres</x:v>
      </x:c>
      <x:c r="F693" s="23" t="str">
        <x:v>Ultra Rare</x:v>
      </x:c>
      <x:c r="G693" s="45" t="n">
        <x:v>75000</x:v>
      </x:c>
      <x:c r="H693" s="45" t="n">
        <x:f>IF(G693="","",ROUNDUP(G693*3,0))</x:f>
        <x:v>225000</x:v>
      </x:c>
      <x:c r="I693" s="41" t="n">
        <x:v>1</x:v>
      </x:c>
      <x:c r="J693" s="42" t="n">
        <x:v>95</x:v>
      </x:c>
      <x:c r="K693" s="42" t="n">
        <x:v>115</x:v>
      </x:c>
      <x:c r="L693" s="42" t="n">
        <x:v>90</x:v>
      </x:c>
      <x:c r="M693" s="42" t="n">
        <x:v>80</x:v>
      </x:c>
      <x:c r="N693" s="42" t="n">
        <x:v>90</x:v>
      </x:c>
      <x:c r="O693" s="42" t="n">
        <x:v>60</x:v>
      </x:c>
      <x:c r="P693" s="43" t="n">
        <x:f>IF(COUNT(J693:O693)=0,"",SUM(J693:O693))</x:f>
        <x:v>530</x:v>
      </x:c>
      <x:c r="Q693" s="23" t="str">
        <x:v>1 lignes de spawn</x:v>
      </x:c>
      <x:c r="R693" s="23" t="str">
        <x:v>Bien qu'il ait un comportement brutal et égocentrique, il trouve ennuyeux d'écraser des adversaires indignes. Les adversaires plus forts le motivent davantage.</x:v>
      </x:c>
      <x:c r="S693" s="23" t="str"/>
      <x:c r="T693" s="23" t="str">
        <x:v>https://pixelmonmod.com/wiki/Incineroar</x:v>
      </x:c>
    </x:row>
    <x:row r="694" ht="54" customHeight="1">
      <x:c r="A694" s="27" t="n">
        <x:v>728</x:v>
      </x:c>
      <x:c r="B694" s="23" t="str">
        <x:v>Otaquin</x:v>
      </x:c>
      <x:c r="C694" s="23" t="str">
        <x:v>Popplio</x:v>
      </x:c>
      <x:c r="D694" s="23" t="str">
        <x:v>Eau</x:v>
      </x:c>
      <x:c r="E694" s="23" t="str"/>
      <x:c r="F694" s="23" t="str">
        <x:v>Very Rare / Ultra Rare</x:v>
      </x:c>
      <x:c r="G694" s="45" t="n">
        <x:v>75000</x:v>
      </x:c>
      <x:c r="H694" s="45" t="n">
        <x:f>IF(G694="","",ROUNDUP(G694*3,0))</x:f>
        <x:v>225000</x:v>
      </x:c>
      <x:c r="I694" s="41" t="n">
        <x:v>0.5</x:v>
      </x:c>
      <x:c r="J694" s="42" t="n">
        <x:v>50</x:v>
      </x:c>
      <x:c r="K694" s="42" t="n">
        <x:v>54</x:v>
      </x:c>
      <x:c r="L694" s="42" t="n">
        <x:v>54</x:v>
      </x:c>
      <x:c r="M694" s="42" t="n">
        <x:v>66</x:v>
      </x:c>
      <x:c r="N694" s="42" t="n">
        <x:v>56</x:v>
      </x:c>
      <x:c r="O694" s="42" t="n">
        <x:v>40</x:v>
      </x:c>
      <x:c r="P694" s="43" t="n">
        <x:f>IF(COUNT(J694:O694)=0,"",SUM(J694:O694))</x:f>
        <x:v>320</x:v>
      </x:c>
      <x:c r="Q694" s="23" t="str">
        <x:v>12 lignes de spawn</x:v>
      </x:c>
      <x:c r="R694" s="23" t="str">
        <x:v>Les ballons qu'il gonfle avec son nez deviennent de plus en plus grands à force d'entraînement quotidien.</x:v>
      </x:c>
      <x:c r="S694" s="23" t="str">
        <x:v>Égalité de fréquence; prix provisoire basé sur le palier le plus élevé. Very Rare aligné sur le palier Super Rare (provisoire).</x:v>
      </x:c>
      <x:c r="T694" s="23" t="str">
        <x:v>https://pixelmonmod.com/wiki/Popplio</x:v>
      </x:c>
    </x:row>
    <x:row r="695" ht="54" customHeight="1">
      <x:c r="A695" s="27" t="n">
        <x:v>729</x:v>
      </x:c>
      <x:c r="B695" s="23" t="str">
        <x:v>Otarlette</x:v>
      </x:c>
      <x:c r="C695" s="23" t="str">
        <x:v>Brionne</x:v>
      </x:c>
      <x:c r="D695" s="23" t="str">
        <x:v>Eau</x:v>
      </x:c>
      <x:c r="E695" s="23" t="str"/>
      <x:c r="F695" s="23" t="str">
        <x:v>Non classé</x:v>
      </x:c>
      <x:c r="G695" s="45"/>
      <x:c r="H695" s="45" t="str">
        <x:f>IF(G695="","",ROUNDUP(G695*3,0))</x:f>
      </x:c>
      <x:c r="I695" s="41"/>
      <x:c r="J695" s="42" t="n">
        <x:v>60</x:v>
      </x:c>
      <x:c r="K695" s="42" t="n">
        <x:v>69</x:v>
      </x:c>
      <x:c r="L695" s="42" t="n">
        <x:v>69</x:v>
      </x:c>
      <x:c r="M695" s="42" t="n">
        <x:v>91</x:v>
      </x:c>
      <x:c r="N695" s="42" t="n">
        <x:v>81</x:v>
      </x:c>
      <x:c r="O695" s="42" t="n">
        <x:v>50</x:v>
      </x:c>
      <x:c r="P695" s="43" t="n">
        <x:f>IF(COUNT(J695:O695)=0,"",SUM(J695:O695))</x:f>
        <x:v>420</x:v>
      </x:c>
      <x:c r="Q695" s="23" t="str">
        <x:v>Aucune ligne classée</x:v>
      </x:c>
      <x:c r="R695" s="23" t="str">
        <x:v>Elle s'excite lorsqu'elle voit une danse qu'elle ne connaît pas. Très appliquée, elle s'entraîne jusqu'à la maîtriser parfaitement.</x:v>
      </x:c>
      <x:c r="S695" s="23" t="str">
        <x:v>Aucune rareté wiki exploitable; prix à fixer.</x:v>
      </x:c>
      <x:c r="T695" s="23" t="str">
        <x:v>https://pixelmonmod.com/wiki/Brionne</x:v>
      </x:c>
    </x:row>
    <x:row r="696" ht="54" customHeight="1">
      <x:c r="A696" s="27" t="n">
        <x:v>730</x:v>
      </x:c>
      <x:c r="B696" s="23" t="str">
        <x:v>Oratoria</x:v>
      </x:c>
      <x:c r="C696" s="23" t="str">
        <x:v>Primarina</x:v>
      </x:c>
      <x:c r="D696" s="23" t="str">
        <x:v>Eau</x:v>
      </x:c>
      <x:c r="E696" s="23" t="str">
        <x:v>Fée</x:v>
      </x:c>
      <x:c r="F696" s="23" t="str">
        <x:v>Non classé</x:v>
      </x:c>
      <x:c r="G696" s="45"/>
      <x:c r="H696" s="45" t="str">
        <x:f>IF(G696="","",ROUNDUP(G696*3,0))</x:f>
      </x:c>
      <x:c r="I696" s="41"/>
      <x:c r="J696" s="42" t="n">
        <x:v>80</x:v>
      </x:c>
      <x:c r="K696" s="42" t="n">
        <x:v>74</x:v>
      </x:c>
      <x:c r="L696" s="42" t="n">
        <x:v>74</x:v>
      </x:c>
      <x:c r="M696" s="42" t="n">
        <x:v>126</x:v>
      </x:c>
      <x:c r="N696" s="42" t="n">
        <x:v>116</x:v>
      </x:c>
      <x:c r="O696" s="42" t="n">
        <x:v>60</x:v>
      </x:c>
      <x:c r="P696" s="43" t="n">
        <x:f>IF(COUNT(J696:O696)=0,"",SUM(J696:O696))</x:f>
        <x:v>530</x:v>
      </x:c>
      <x:c r="Q696" s="23" t="str">
        <x:v>Aucune ligne classée</x:v>
      </x:c>
      <x:c r="R696" s="23" t="str">
        <x:v>Pour Oratoria, chaque combat est une scène. Il met K.O. ses proies grâce à un chant et une danse magnifiques.</x:v>
      </x:c>
      <x:c r="S696" s="23" t="str">
        <x:v>Aucune rareté wiki exploitable; prix à fixer.</x:v>
      </x:c>
      <x:c r="T696" s="23" t="str">
        <x:v>https://pixelmonmod.com/wiki/Primarina</x:v>
      </x:c>
    </x:row>
    <x:row r="697" ht="54" customHeight="1">
      <x:c r="A697" s="27" t="n">
        <x:v>731</x:v>
      </x:c>
      <x:c r="B697" s="23" t="str">
        <x:v>Picassaut</x:v>
      </x:c>
      <x:c r="C697" s="23" t="str">
        <x:v>Pikipek</x:v>
      </x:c>
      <x:c r="D697" s="23" t="str">
        <x:v>Normal</x:v>
      </x:c>
      <x:c r="E697" s="23" t="str">
        <x:v>Vol</x:v>
      </x:c>
      <x:c r="F697" s="23" t="str">
        <x:v>Common</x:v>
      </x:c>
      <x:c r="G697" s="45" t="n">
        <x:v>2000</x:v>
      </x:c>
      <x:c r="H697" s="45" t="n">
        <x:f>IF(G697="","",ROUNDUP(G697*3,0))</x:f>
        <x:v>6000</x:v>
      </x:c>
      <x:c r="I697" s="41" t="n">
        <x:v>0.667</x:v>
      </x:c>
      <x:c r="J697" s="42" t="n">
        <x:v>35</x:v>
      </x:c>
      <x:c r="K697" s="42" t="n">
        <x:v>75</x:v>
      </x:c>
      <x:c r="L697" s="42" t="n">
        <x:v>30</x:v>
      </x:c>
      <x:c r="M697" s="42" t="n">
        <x:v>30</x:v>
      </x:c>
      <x:c r="N697" s="42" t="n">
        <x:v>30</x:v>
      </x:c>
      <x:c r="O697" s="42" t="n">
        <x:v>65</x:v>
      </x:c>
      <x:c r="P697" s="43" t="n">
        <x:f>IF(COUNT(J697:O697)=0,"",SUM(J697:O697))</x:f>
        <x:v>265</x:v>
      </x:c>
      <x:c r="Q697" s="23" t="str">
        <x:v>6 lignes de spawn</x:v>
      </x:c>
      <x:c r="R697" s="23" t="str">
        <x:v>Il martèle les arbres avec son bec dur. On peut deviner son humeur ou son état grâce au rythme de ses coups.</x:v>
      </x:c>
      <x:c r="S697" s="23" t="str"/>
      <x:c r="T697" s="23" t="str">
        <x:v>https://pixelmonmod.com/wiki/Pikipek</x:v>
      </x:c>
    </x:row>
    <x:row r="698" ht="54" customHeight="1">
      <x:c r="A698" s="27" t="n">
        <x:v>732</x:v>
      </x:c>
      <x:c r="B698" s="23" t="str">
        <x:v>Piclairon</x:v>
      </x:c>
      <x:c r="C698" s="23" t="str">
        <x:v>Trumbeak</x:v>
      </x:c>
      <x:c r="D698" s="23" t="str">
        <x:v>Normal</x:v>
      </x:c>
      <x:c r="E698" s="23" t="str">
        <x:v>Vol</x:v>
      </x:c>
      <x:c r="F698" s="23" t="str">
        <x:v>Uncommon</x:v>
      </x:c>
      <x:c r="G698" s="45" t="n">
        <x:v>5000</x:v>
      </x:c>
      <x:c r="H698" s="45" t="n">
        <x:f>IF(G698="","",ROUNDUP(G698*3,0))</x:f>
        <x:v>15000</x:v>
      </x:c>
      <x:c r="I698" s="41" t="n">
        <x:v>1</x:v>
      </x:c>
      <x:c r="J698" s="42" t="n">
        <x:v>55</x:v>
      </x:c>
      <x:c r="K698" s="42" t="n">
        <x:v>85</x:v>
      </x:c>
      <x:c r="L698" s="42" t="n">
        <x:v>50</x:v>
      </x:c>
      <x:c r="M698" s="42" t="n">
        <x:v>40</x:v>
      </x:c>
      <x:c r="N698" s="42" t="n">
        <x:v>50</x:v>
      </x:c>
      <x:c r="O698" s="42" t="n">
        <x:v>75</x:v>
      </x:c>
      <x:c r="P698" s="43" t="n">
        <x:f>IF(COUNT(J698:O698)=0,"",SUM(J698:O698))</x:f>
        <x:v>355</x:v>
      </x:c>
      <x:c r="Q698" s="23" t="str">
        <x:v>5 lignes de spawn</x:v>
      </x:c>
      <x:c r="R698" s="23" t="str">
        <x:v>Il peut plier l'extrémité de son bec pour produire plus d'une centaine de cris différents.</x:v>
      </x:c>
      <x:c r="S698" s="23" t="str"/>
      <x:c r="T698" s="23" t="str">
        <x:v>https://pixelmonmod.com/wiki/Trumbeak</x:v>
      </x:c>
    </x:row>
    <x:row r="699" ht="54" customHeight="1">
      <x:c r="A699" s="27" t="n">
        <x:v>733</x:v>
      </x:c>
      <x:c r="B699" s="23" t="str">
        <x:v>Bazoucan</x:v>
      </x:c>
      <x:c r="C699" s="23" t="str">
        <x:v>Toucannon</x:v>
      </x:c>
      <x:c r="D699" s="23" t="str">
        <x:v>Normal</x:v>
      </x:c>
      <x:c r="E699" s="23" t="str">
        <x:v>Vol</x:v>
      </x:c>
      <x:c r="F699" s="23" t="str">
        <x:v>Ultra Rare</x:v>
      </x:c>
      <x:c r="G699" s="45" t="n">
        <x:v>75000</x:v>
      </x:c>
      <x:c r="H699" s="45" t="n">
        <x:f>IF(G699="","",ROUNDUP(G699*3,0))</x:f>
        <x:v>225000</x:v>
      </x:c>
      <x:c r="I699" s="41" t="n">
        <x:v>0.667</x:v>
      </x:c>
      <x:c r="J699" s="42" t="n">
        <x:v>80</x:v>
      </x:c>
      <x:c r="K699" s="42" t="n">
        <x:v>120</x:v>
      </x:c>
      <x:c r="L699" s="42" t="n">
        <x:v>75</x:v>
      </x:c>
      <x:c r="M699" s="42" t="n">
        <x:v>75</x:v>
      </x:c>
      <x:c r="N699" s="42" t="n">
        <x:v>75</x:v>
      </x:c>
      <x:c r="O699" s="42" t="n">
        <x:v>60</x:v>
      </x:c>
      <x:c r="P699" s="43" t="n">
        <x:f>IF(COUNT(J699:O699)=0,"",SUM(J699:O699))</x:f>
        <x:v>485</x:v>
      </x:c>
      <x:c r="Q699" s="23" t="str">
        <x:v>3 lignes de spawn</x:v>
      </x:c>
      <x:c r="R699" s="23" t="str">
        <x:v>Ils entrechoquent leurs becs pour communiquer. La force et le nombre de coups indiquent leurs émotions.</x:v>
      </x:c>
      <x:c r="S699" s="23" t="str"/>
      <x:c r="T699" s="23" t="str">
        <x:v>https://pixelmonmod.com/wiki/Toucannon</x:v>
      </x:c>
    </x:row>
    <x:row r="700" ht="54" customHeight="1">
      <x:c r="A700" s="27" t="n">
        <x:v>734</x:v>
      </x:c>
      <x:c r="B700" s="23" t="str">
        <x:v>Manglouton</x:v>
      </x:c>
      <x:c r="C700" s="23" t="str">
        <x:v>Yungoos</x:v>
      </x:c>
      <x:c r="D700" s="23" t="str">
        <x:v>Normal</x:v>
      </x:c>
      <x:c r="E700" s="23" t="str"/>
      <x:c r="F700" s="23" t="str">
        <x:v>Common</x:v>
      </x:c>
      <x:c r="G700" s="45" t="n">
        <x:v>2000</x:v>
      </x:c>
      <x:c r="H700" s="45" t="n">
        <x:f>IF(G700="","",ROUNDUP(G700*3,0))</x:f>
        <x:v>6000</x:v>
      </x:c>
      <x:c r="I700" s="41" t="n">
        <x:v>1</x:v>
      </x:c>
      <x:c r="J700" s="42" t="n">
        <x:v>48</x:v>
      </x:c>
      <x:c r="K700" s="42" t="n">
        <x:v>70</x:v>
      </x:c>
      <x:c r="L700" s="42" t="n">
        <x:v>30</x:v>
      </x:c>
      <x:c r="M700" s="42" t="n">
        <x:v>30</x:v>
      </x:c>
      <x:c r="N700" s="42" t="n">
        <x:v>30</x:v>
      </x:c>
      <x:c r="O700" s="42" t="n">
        <x:v>45</x:v>
      </x:c>
      <x:c r="P700" s="43" t="n">
        <x:f>IF(COUNT(J700:O700)=0,"",SUM(J700:O700))</x:f>
        <x:v>253</x:v>
      </x:c>
      <x:c r="Q700" s="23" t="str">
        <x:v>1 lignes de spawn</x:v>
      </x:c>
      <x:c r="R700" s="23" t="str">
        <x:v>Son estomac occupe la majeure partie de son long corps. C'est un gros mangeur, et le coût de sa nourriture n'a rien de drôle pour les Dresseurs.</x:v>
      </x:c>
      <x:c r="S700" s="23" t="str"/>
      <x:c r="T700" s="23" t="str">
        <x:v>https://pixelmonmod.com/wiki/Yungoos</x:v>
      </x:c>
    </x:row>
    <x:row r="701" ht="54" customHeight="1">
      <x:c r="A701" s="27" t="n">
        <x:v>735</x:v>
      </x:c>
      <x:c r="B701" s="23" t="str">
        <x:v>Argouste</x:v>
      </x:c>
      <x:c r="C701" s="23" t="str">
        <x:v>Gumshoos</x:v>
      </x:c>
      <x:c r="D701" s="23" t="str">
        <x:v>Normal</x:v>
      </x:c>
      <x:c r="E701" s="23" t="str"/>
      <x:c r="F701" s="23" t="str">
        <x:v>Ultra Rare</x:v>
      </x:c>
      <x:c r="G701" s="45" t="n">
        <x:v>75000</x:v>
      </x:c>
      <x:c r="H701" s="45" t="n">
        <x:f>IF(G701="","",ROUNDUP(G701*3,0))</x:f>
        <x:v>225000</x:v>
      </x:c>
      <x:c r="I701" s="41" t="n">
        <x:v>1</x:v>
      </x:c>
      <x:c r="J701" s="42" t="n">
        <x:v>88</x:v>
      </x:c>
      <x:c r="K701" s="42" t="n">
        <x:v>110</x:v>
      </x:c>
      <x:c r="L701" s="42" t="n">
        <x:v>60</x:v>
      </x:c>
      <x:c r="M701" s="42" t="n">
        <x:v>55</x:v>
      </x:c>
      <x:c r="N701" s="42" t="n">
        <x:v>60</x:v>
      </x:c>
      <x:c r="O701" s="42" t="n">
        <x:v>45</x:v>
      </x:c>
      <x:c r="P701" s="43" t="n">
        <x:f>IF(COUNT(J701:O701)=0,"",SUM(J701:O701))</x:f>
        <x:v>418</x:v>
      </x:c>
      <x:c r="Q701" s="23" t="str">
        <x:v>1 lignes de spawn</x:v>
      </x:c>
      <x:c r="R701" s="23" t="str">
        <x:v>Bien qu'il ne soit pas originaire d'Alola, ce Pokémon y fut amené il y a longtemps lors d'une grande invasion de Rattata.</x:v>
      </x:c>
      <x:c r="S701" s="23" t="str"/>
      <x:c r="T701" s="23" t="str">
        <x:v>https://pixelmonmod.com/wiki/Gumshoos</x:v>
      </x:c>
    </x:row>
    <x:row r="702" ht="54" customHeight="1">
      <x:c r="A702" s="27" t="n">
        <x:v>736</x:v>
      </x:c>
      <x:c r="B702" s="23" t="str">
        <x:v>Larvibule</x:v>
      </x:c>
      <x:c r="C702" s="23" t="str">
        <x:v>Grubbin</x:v>
      </x:c>
      <x:c r="D702" s="23" t="str">
        <x:v>Insecte</x:v>
      </x:c>
      <x:c r="E702" s="23" t="str"/>
      <x:c r="F702" s="23" t="str">
        <x:v>Common / Uncommon</x:v>
      </x:c>
      <x:c r="G702" s="45" t="n">
        <x:v>5000</x:v>
      </x:c>
      <x:c r="H702" s="45" t="n">
        <x:f>IF(G702="","",ROUNDUP(G702*3,0))</x:f>
        <x:v>15000</x:v>
      </x:c>
      <x:c r="I702" s="41" t="n">
        <x:v>0.429</x:v>
      </x:c>
      <x:c r="J702" s="42" t="n">
        <x:v>47</x:v>
      </x:c>
      <x:c r="K702" s="42" t="n">
        <x:v>62</x:v>
      </x:c>
      <x:c r="L702" s="42" t="n">
        <x:v>45</x:v>
      </x:c>
      <x:c r="M702" s="42" t="n">
        <x:v>55</x:v>
      </x:c>
      <x:c r="N702" s="42" t="n">
        <x:v>45</x:v>
      </x:c>
      <x:c r="O702" s="42" t="n">
        <x:v>46</x:v>
      </x:c>
      <x:c r="P702" s="43" t="n">
        <x:f>IF(COUNT(J702:O702)=0,"",SUM(J702:O702))</x:f>
        <x:v>300</x:v>
      </x:c>
      <x:c r="Q702" s="23" t="str">
        <x:v>7 lignes de spawn</x:v>
      </x:c>
      <x:c r="R702" s="23" t="str">
        <x:v>Si vous trouvez son nid, n'y mettez jamais la main : un Larvibule irrité vous mordrait immédiatement.</x:v>
      </x:c>
      <x:c r="S702" s="23" t="str">
        <x:v>Égalité de fréquence; prix provisoire basé sur le palier le plus élevé.</x:v>
      </x:c>
      <x:c r="T702" s="23" t="str">
        <x:v>https://pixelmonmod.com/wiki/Grubbin</x:v>
      </x:c>
    </x:row>
    <x:row r="703" ht="54" customHeight="1">
      <x:c r="A703" s="27" t="n">
        <x:v>737</x:v>
      </x:c>
      <x:c r="B703" s="23" t="str">
        <x:v>Chrysapile</x:v>
      </x:c>
      <x:c r="C703" s="23" t="str">
        <x:v>Charjabug</x:v>
      </x:c>
      <x:c r="D703" s="23" t="str">
        <x:v>Insecte</x:v>
      </x:c>
      <x:c r="E703" s="23" t="str">
        <x:v>Électrik</x:v>
      </x:c>
      <x:c r="F703" s="23" t="str">
        <x:v>Rare</x:v>
      </x:c>
      <x:c r="G703" s="45" t="n">
        <x:v>12000</x:v>
      </x:c>
      <x:c r="H703" s="45" t="n">
        <x:f>IF(G703="","",ROUNDUP(G703*3,0))</x:f>
        <x:v>36000</x:v>
      </x:c>
      <x:c r="I703" s="41" t="n">
        <x:v>1</x:v>
      </x:c>
      <x:c r="J703" s="42" t="n">
        <x:v>57</x:v>
      </x:c>
      <x:c r="K703" s="42" t="n">
        <x:v>82</x:v>
      </x:c>
      <x:c r="L703" s="42" t="n">
        <x:v>95</x:v>
      </x:c>
      <x:c r="M703" s="42" t="n">
        <x:v>55</x:v>
      </x:c>
      <x:c r="N703" s="42" t="n">
        <x:v>75</x:v>
      </x:c>
      <x:c r="O703" s="42" t="n">
        <x:v>36</x:v>
      </x:c>
      <x:c r="P703" s="43" t="n">
        <x:f>IF(COUNT(J703:O703)=0,"",SUM(J703:O703))</x:f>
        <x:v>400</x:v>
      </x:c>
      <x:c r="Q703" s="23" t="str">
        <x:v>6 lignes de spawn</x:v>
      </x:c>
      <x:c r="R703" s="23" t="str">
        <x:v>Il s'enterre dans les feuilles mortes et bouge à peine, mastiquant l'humus. Si vous marchez dessus par accident, vous recevrez une décharge !</x:v>
      </x:c>
      <x:c r="S703" s="23" t="str"/>
      <x:c r="T703" s="23" t="str">
        <x:v>https://pixelmonmod.com/wiki/Charjabug</x:v>
      </x:c>
    </x:row>
    <x:row r="704" ht="54" customHeight="1">
      <x:c r="A704" s="27" t="n">
        <x:v>738</x:v>
      </x:c>
      <x:c r="B704" s="23" t="str">
        <x:v>Lucanon</x:v>
      </x:c>
      <x:c r="C704" s="23" t="str">
        <x:v>Vikavolt</x:v>
      </x:c>
      <x:c r="D704" s="23" t="str">
        <x:v>Insecte</x:v>
      </x:c>
      <x:c r="E704" s="23" t="str">
        <x:v>Électrik</x:v>
      </x:c>
      <x:c r="F704" s="23" t="str">
        <x:v>Ultra Rare</x:v>
      </x:c>
      <x:c r="G704" s="45" t="n">
        <x:v>75000</x:v>
      </x:c>
      <x:c r="H704" s="45" t="n">
        <x:f>IF(G704="","",ROUNDUP(G704*3,0))</x:f>
        <x:v>225000</x:v>
      </x:c>
      <x:c r="I704" s="41" t="n">
        <x:v>0.857</x:v>
      </x:c>
      <x:c r="J704" s="42" t="n">
        <x:v>77</x:v>
      </x:c>
      <x:c r="K704" s="42" t="n">
        <x:v>70</x:v>
      </x:c>
      <x:c r="L704" s="42" t="n">
        <x:v>90</x:v>
      </x:c>
      <x:c r="M704" s="42" t="n">
        <x:v>145</x:v>
      </x:c>
      <x:c r="N704" s="42" t="n">
        <x:v>75</x:v>
      </x:c>
      <x:c r="O704" s="42" t="n">
        <x:v>43</x:v>
      </x:c>
      <x:c r="P704" s="43" t="n">
        <x:f>IF(COUNT(J704:O704)=0,"",SUM(J704:O704))</x:f>
        <x:v>500</x:v>
      </x:c>
      <x:c r="Q704" s="23" t="str">
        <x:v>7 lignes de spawn</x:v>
      </x:c>
      <x:c r="R704" s="23" t="str">
        <x:v>Il possède un organe produisant de l'électricité dans son abdomen. Il concentre cette énergie dans ses puissantes mandibules pour projeter d'intenses décharges électriques.</x:v>
      </x:c>
      <x:c r="S704" s="23" t="str"/>
      <x:c r="T704" s="23" t="str">
        <x:v>https://pixelmonmod.com/wiki/Vikavolt</x:v>
      </x:c>
    </x:row>
    <x:row r="705" ht="54" customHeight="1">
      <x:c r="A705" s="27" t="n">
        <x:v>739</x:v>
      </x:c>
      <x:c r="B705" s="23" t="str">
        <x:v>Crabagarre</x:v>
      </x:c>
      <x:c r="C705" s="23" t="str">
        <x:v>Crabrawler</x:v>
      </x:c>
      <x:c r="D705" s="23" t="str">
        <x:v>Combat</x:v>
      </x:c>
      <x:c r="E705" s="23" t="str"/>
      <x:c r="F705" s="23" t="str">
        <x:v>Uncommon</x:v>
      </x:c>
      <x:c r="G705" s="45" t="n">
        <x:v>5000</x:v>
      </x:c>
      <x:c r="H705" s="45" t="n">
        <x:f>IF(G705="","",ROUNDUP(G705*3,0))</x:f>
        <x:v>15000</x:v>
      </x:c>
      <x:c r="I705" s="41" t="n">
        <x:v>1</x:v>
      </x:c>
      <x:c r="J705" s="42" t="n">
        <x:v>47</x:v>
      </x:c>
      <x:c r="K705" s="42" t="n">
        <x:v>82</x:v>
      </x:c>
      <x:c r="L705" s="42" t="n">
        <x:v>57</x:v>
      </x:c>
      <x:c r="M705" s="42" t="n">
        <x:v>42</x:v>
      </x:c>
      <x:c r="N705" s="42" t="n">
        <x:v>47</x:v>
      </x:c>
      <x:c r="O705" s="42" t="n">
        <x:v>63</x:v>
      </x:c>
      <x:c r="P705" s="43" t="n">
        <x:f>IF(COUNT(J705:O705)=0,"",SUM(J705:O705))</x:f>
        <x:v>338</x:v>
      </x:c>
      <x:c r="Q705" s="23" t="str">
        <x:v>3 lignes de spawn</x:v>
      </x:c>
      <x:c r="R705" s="23" t="str">
        <x:v>Ses pinces solides sont adaptées autant à l'attaque qu'à la défense. Les combats entre deux Crabagarre ressemblent à des matchs de boxe.</x:v>
      </x:c>
      <x:c r="S705" s="23" t="str"/>
      <x:c r="T705" s="23" t="str">
        <x:v>https://pixelmonmod.com/wiki/Crabrawler</x:v>
      </x:c>
    </x:row>
    <x:row r="706" ht="54" customHeight="1">
      <x:c r="A706" s="27" t="n">
        <x:v>740</x:v>
      </x:c>
      <x:c r="B706" s="23" t="str">
        <x:v>Crabominable</x:v>
      </x:c>
      <x:c r="C706" s="23" t="str">
        <x:v>Crabominable</x:v>
      </x:c>
      <x:c r="D706" s="23" t="str">
        <x:v>Combat</x:v>
      </x:c>
      <x:c r="E706" s="23" t="str">
        <x:v>Glace</x:v>
      </x:c>
      <x:c r="F706" s="23" t="str">
        <x:v>Ultra Rare</x:v>
      </x:c>
      <x:c r="G706" s="45" t="n">
        <x:v>75000</x:v>
      </x:c>
      <x:c r="H706" s="45" t="n">
        <x:f>IF(G706="","",ROUNDUP(G706*3,0))</x:f>
        <x:v>225000</x:v>
      </x:c>
      <x:c r="I706" s="41" t="n">
        <x:v>1</x:v>
      </x:c>
      <x:c r="J706" s="42" t="n">
        <x:v>97</x:v>
      </x:c>
      <x:c r="K706" s="42" t="n">
        <x:v>132</x:v>
      </x:c>
      <x:c r="L706" s="42" t="n">
        <x:v>77</x:v>
      </x:c>
      <x:c r="M706" s="42" t="n">
        <x:v>62</x:v>
      </x:c>
      <x:c r="N706" s="42" t="n">
        <x:v>67</x:v>
      </x:c>
      <x:c r="O706" s="42" t="n">
        <x:v>43</x:v>
      </x:c>
      <x:c r="P706" s="43" t="n">
        <x:f>IF(COUNT(J706:O706)=0,"",SUM(J706:O706))</x:f>
        <x:v>478</x:v>
      </x:c>
      <x:c r="Q706" s="23" t="str">
        <x:v>1 lignes de spawn</x:v>
      </x:c>
      <x:c r="R706" s="23" t="str">
        <x:v>Il stocke du froid dans ses pinces et assaille ses adversaires. Il peut même réduire en miettes de épaisses parois de glace !</x:v>
      </x:c>
      <x:c r="S706" s="23" t="str"/>
      <x:c r="T706" s="23" t="str">
        <x:v>https://pixelmonmod.com/wiki/Crabominable</x:v>
      </x:c>
    </x:row>
    <x:row r="707" ht="54" customHeight="1">
      <x:c r="A707" s="27" t="n">
        <x:v>741</x:v>
      </x:c>
      <x:c r="B707" s="23" t="str">
        <x:v>Plumeline</x:v>
      </x:c>
      <x:c r="C707" s="23" t="str">
        <x:v>Oricorio</x:v>
      </x:c>
      <x:c r="D707" s="23" t="str">
        <x:v>Feu</x:v>
      </x:c>
      <x:c r="E707" s="23" t="str">
        <x:v>Vol</x:v>
      </x:c>
      <x:c r="F707" s="23" t="str">
        <x:v>Uncommon</x:v>
      </x:c>
      <x:c r="G707" s="45" t="n">
        <x:v>5000</x:v>
      </x:c>
      <x:c r="H707" s="45" t="n">
        <x:f>IF(G707="","",ROUNDUP(G707*3,0))</x:f>
        <x:v>15000</x:v>
      </x:c>
      <x:c r="I707" s="41" t="n">
        <x:v>1</x:v>
      </x:c>
      <x:c r="J707" s="42" t="n">
        <x:v>75</x:v>
      </x:c>
      <x:c r="K707" s="42" t="n">
        <x:v>70</x:v>
      </x:c>
      <x:c r="L707" s="42" t="n">
        <x:v>70</x:v>
      </x:c>
      <x:c r="M707" s="42" t="n">
        <x:v>98</x:v>
      </x:c>
      <x:c r="N707" s="42" t="n">
        <x:v>70</x:v>
      </x:c>
      <x:c r="O707" s="42" t="n">
        <x:v>93</x:v>
      </x:c>
      <x:c r="P707" s="43" t="n">
        <x:f>IF(COUNT(J707:O707)=0,"",SUM(J707:O707))</x:f>
        <x:v>476</x:v>
      </x:c>
      <x:c r="Q707" s="23" t="str">
        <x:v>4 lignes de spawn</x:v>
      </x:c>
      <x:c r="R707" s="23" t="str">
        <x:v>Il remonte le moral de ses adversaires grâce à ses pas de danse joyeux. Il change de forme en sirotant le nectar de certaines fleurs.</x:v>
      </x:c>
      <x:c r="S707" s="23" t="str"/>
      <x:c r="T707" s="23" t="str">
        <x:v>https://pixelmonmod.com/wiki/Oricorio</x:v>
      </x:c>
    </x:row>
    <x:row r="708" ht="54" customHeight="1">
      <x:c r="A708" s="27" t="n">
        <x:v>742</x:v>
      </x:c>
      <x:c r="B708" s="23" t="str">
        <x:v>Bombydou</x:v>
      </x:c>
      <x:c r="C708" s="23" t="str">
        <x:v>Cutiefly</x:v>
      </x:c>
      <x:c r="D708" s="23" t="str">
        <x:v>Insecte</x:v>
      </x:c>
      <x:c r="E708" s="23" t="str">
        <x:v>Fée</x:v>
      </x:c>
      <x:c r="F708" s="23" t="str">
        <x:v>Uncommon</x:v>
      </x:c>
      <x:c r="G708" s="45" t="n">
        <x:v>5000</x:v>
      </x:c>
      <x:c r="H708" s="45" t="n">
        <x:f>IF(G708="","",ROUNDUP(G708*3,0))</x:f>
        <x:v>15000</x:v>
      </x:c>
      <x:c r="I708" s="41" t="n">
        <x:v>1</x:v>
      </x:c>
      <x:c r="J708" s="42" t="n">
        <x:v>40</x:v>
      </x:c>
      <x:c r="K708" s="42" t="n">
        <x:v>45</x:v>
      </x:c>
      <x:c r="L708" s="42" t="n">
        <x:v>40</x:v>
      </x:c>
      <x:c r="M708" s="42" t="n">
        <x:v>55</x:v>
      </x:c>
      <x:c r="N708" s="42" t="n">
        <x:v>40</x:v>
      </x:c>
      <x:c r="O708" s="42" t="n">
        <x:v>84</x:v>
      </x:c>
      <x:c r="P708" s="43" t="n">
        <x:f>IF(COUNT(J708:O708)=0,"",SUM(J708:O708))</x:f>
        <x:v>304</x:v>
      </x:c>
      <x:c r="Q708" s="23" t="str">
        <x:v>2 lignes de spawn</x:v>
      </x:c>
      <x:c r="R708" s="23" t="str">
        <x:v>Le nectar et le pollen sont ses mets préférés. Dans les champs de fleurs, il lui arrive d'avoir des accrochages avec Papilusion pour la nourriture.</x:v>
      </x:c>
      <x:c r="S708" s="23" t="str"/>
      <x:c r="T708" s="23" t="str">
        <x:v>https://pixelmonmod.com/wiki/Cutiefly</x:v>
      </x:c>
    </x:row>
    <x:row r="709" ht="54" customHeight="1">
      <x:c r="A709" s="27" t="n">
        <x:v>743</x:v>
      </x:c>
      <x:c r="B709" s="23" t="str">
        <x:v>Rubombelle</x:v>
      </x:c>
      <x:c r="C709" s="23" t="str">
        <x:v>Ribombee</x:v>
      </x:c>
      <x:c r="D709" s="23" t="str">
        <x:v>Insecte</x:v>
      </x:c>
      <x:c r="E709" s="23" t="str">
        <x:v>Fée</x:v>
      </x:c>
      <x:c r="F709" s="23" t="str">
        <x:v>Ultra Rare</x:v>
      </x:c>
      <x:c r="G709" s="45" t="n">
        <x:v>75000</x:v>
      </x:c>
      <x:c r="H709" s="45" t="n">
        <x:f>IF(G709="","",ROUNDUP(G709*3,0))</x:f>
        <x:v>225000</x:v>
      </x:c>
      <x:c r="I709" s="41" t="n">
        <x:v>1</x:v>
      </x:c>
      <x:c r="J709" s="42" t="n">
        <x:v>60</x:v>
      </x:c>
      <x:c r="K709" s="42" t="n">
        <x:v>55</x:v>
      </x:c>
      <x:c r="L709" s="42" t="n">
        <x:v>60</x:v>
      </x:c>
      <x:c r="M709" s="42" t="n">
        <x:v>95</x:v>
      </x:c>
      <x:c r="N709" s="42" t="n">
        <x:v>70</x:v>
      </x:c>
      <x:c r="O709" s="42" t="n">
        <x:v>124</x:v>
      </x:c>
      <x:c r="P709" s="43" t="n">
        <x:f>IF(COUNT(J709:O709)=0,"",SUM(J709:O709))</x:f>
        <x:v>464</x:v>
      </x:c>
      <x:c r="Q709" s="23" t="str">
        <x:v>2 lignes de spawn</x:v>
      </x:c>
      <x:c r="R709" s="23" t="str">
        <x:v>Rubombelle déteste la pluie, qui humidifie son pollen. Lorsqu'il voit des nuages menaçants, il cherche un creux d'arbre où rester immobile.</x:v>
      </x:c>
      <x:c r="S709" s="23" t="str"/>
      <x:c r="T709" s="23" t="str">
        <x:v>https://pixelmonmod.com/wiki/Ribombee</x:v>
      </x:c>
    </x:row>
    <x:row r="710" ht="54" customHeight="1">
      <x:c r="A710" s="27" t="n">
        <x:v>744</x:v>
      </x:c>
      <x:c r="B710" s="23" t="str">
        <x:v>Rocabot</x:v>
      </x:c>
      <x:c r="C710" s="23" t="str">
        <x:v>Rockruff</x:v>
      </x:c>
      <x:c r="D710" s="23" t="str">
        <x:v>Roche</x:v>
      </x:c>
      <x:c r="E710" s="23" t="str"/>
      <x:c r="F710" s="23" t="str">
        <x:v>Uncommon</x:v>
      </x:c>
      <x:c r="G710" s="45" t="n">
        <x:v>5000</x:v>
      </x:c>
      <x:c r="H710" s="45" t="n">
        <x:f>IF(G710="","",ROUNDUP(G710*3,0))</x:f>
        <x:v>15000</x:v>
      </x:c>
      <x:c r="I710" s="41" t="n">
        <x:v>1</x:v>
      </x:c>
      <x:c r="J710" s="42" t="n">
        <x:v>45</x:v>
      </x:c>
      <x:c r="K710" s="42" t="n">
        <x:v>65</x:v>
      </x:c>
      <x:c r="L710" s="42" t="n">
        <x:v>40</x:v>
      </x:c>
      <x:c r="M710" s="42" t="n">
        <x:v>30</x:v>
      </x:c>
      <x:c r="N710" s="42" t="n">
        <x:v>40</x:v>
      </x:c>
      <x:c r="O710" s="42" t="n">
        <x:v>60</x:v>
      </x:c>
      <x:c r="P710" s="43" t="n">
        <x:f>IF(COUNT(J710:O710)=0,"",SUM(J710:O710))</x:f>
        <x:v>280</x:v>
      </x:c>
      <x:c r="Q710" s="23" t="str">
        <x:v>7 lignes de spawn</x:v>
      </x:c>
      <x:c r="R710" s="23" t="str">
        <x:v>En grandissant, leur tempérament devient plus violent et agressif. Beaucoup de Dresseurs ne parviennent pas à les gérer et finissent par les abandonner.</x:v>
      </x:c>
      <x:c r="S710" s="23" t="str"/>
      <x:c r="T710" s="23" t="str">
        <x:v>https://pixelmonmod.com/wiki/Rockruff</x:v>
      </x:c>
    </x:row>
    <x:row r="711" ht="54" customHeight="1">
      <x:c r="A711" s="27" t="n">
        <x:v>745</x:v>
      </x:c>
      <x:c r="B711" s="23" t="str">
        <x:v>Lougaroc</x:v>
      </x:c>
      <x:c r="C711" s="23" t="str">
        <x:v>Lycanroc</x:v>
      </x:c>
      <x:c r="D711" s="23" t="str">
        <x:v>Roche</x:v>
      </x:c>
      <x:c r="E711" s="23" t="str"/>
      <x:c r="F711" s="23" t="str">
        <x:v>Ultra Rare</x:v>
      </x:c>
      <x:c r="G711" s="45" t="n">
        <x:v>75000</x:v>
      </x:c>
      <x:c r="H711" s="45" t="n">
        <x:f>IF(G711="","",ROUNDUP(G711*3,0))</x:f>
        <x:v>225000</x:v>
      </x:c>
      <x:c r="I711" s="41" t="n">
        <x:v>0.857</x:v>
      </x:c>
      <x:c r="J711" s="42" t="n">
        <x:v>75</x:v>
      </x:c>
      <x:c r="K711" s="42" t="n">
        <x:v>115</x:v>
      </x:c>
      <x:c r="L711" s="42" t="n">
        <x:v>65</x:v>
      </x:c>
      <x:c r="M711" s="42" t="n">
        <x:v>55</x:v>
      </x:c>
      <x:c r="N711" s="42" t="n">
        <x:v>65</x:v>
      </x:c>
      <x:c r="O711" s="42" t="n">
        <x:v>112</x:v>
      </x:c>
      <x:c r="P711" s="43" t="n">
        <x:f>IF(COUNT(J711:O711)=0,"",SUM(J711:O711))</x:f>
        <x:v>487</x:v>
      </x:c>
      <x:c r="Q711" s="23" t="str">
        <x:v>21 lignes de spawn</x:v>
      </x:c>
      <x:c r="R711" s="23" t="str">
        <x:v>Lougaroc possède une évolution particulière qui dépend de l'heure du jour. Chaque forme est unique.</x:v>
      </x:c>
      <x:c r="S711" s="23" t="str"/>
      <x:c r="T711" s="23" t="str">
        <x:v>https://pixelmonmod.com/wiki/Lycanroc</x:v>
      </x:c>
    </x:row>
    <x:row r="712" ht="54" customHeight="1">
      <x:c r="A712" s="27" t="n">
        <x:v>746</x:v>
      </x:c>
      <x:c r="B712" s="23" t="str">
        <x:v>Froussinette</x:v>
      </x:c>
      <x:c r="C712" s="23" t="str">
        <x:v>Wishiwashi</x:v>
      </x:c>
      <x:c r="D712" s="23" t="str">
        <x:v>Eau</x:v>
      </x:c>
      <x:c r="E712" s="23" t="str"/>
      <x:c r="F712" s="23" t="str">
        <x:v>Uncommon</x:v>
      </x:c>
      <x:c r="G712" s="45" t="n">
        <x:v>5000</x:v>
      </x:c>
      <x:c r="H712" s="45" t="n">
        <x:f>IF(G712="","",ROUNDUP(G712*3,0))</x:f>
        <x:v>15000</x:v>
      </x:c>
      <x:c r="I712" s="41" t="n">
        <x:v>0.857</x:v>
      </x:c>
      <x:c r="J712" s="42" t="n">
        <x:v>45</x:v>
      </x:c>
      <x:c r="K712" s="42" t="n">
        <x:v>20</x:v>
      </x:c>
      <x:c r="L712" s="42" t="n">
        <x:v>20</x:v>
      </x:c>
      <x:c r="M712" s="42" t="n">
        <x:v>25</x:v>
      </x:c>
      <x:c r="N712" s="42" t="n">
        <x:v>25</x:v>
      </x:c>
      <x:c r="O712" s="42" t="n">
        <x:v>40</x:v>
      </x:c>
      <x:c r="P712" s="43" t="n">
        <x:f>IF(COUNT(J712:O712)=0,"",SUM(J712:O712))</x:f>
        <x:v>175</x:v>
      </x:c>
      <x:c r="Q712" s="23" t="str">
        <x:v>7 lignes de spawn</x:v>
      </x:c>
      <x:c r="R712" s="23" t="str">
        <x:v>Ils sont faibles, alors ils se déplacent en bancs. Cependant, il arrive souvent d'en voir seuls, séparés du groupe.</x:v>
      </x:c>
      <x:c r="S712" s="23" t="str"/>
      <x:c r="T712" s="23" t="str">
        <x:v>https://pixelmonmod.com/wiki/Wishiwashi</x:v>
      </x:c>
    </x:row>
    <x:row r="713" ht="54" customHeight="1">
      <x:c r="A713" s="27" t="n">
        <x:v>747</x:v>
      </x:c>
      <x:c r="B713" s="23" t="str">
        <x:v>Vorastérie</x:v>
      </x:c>
      <x:c r="C713" s="23" t="str">
        <x:v>Mareanie</x:v>
      </x:c>
      <x:c r="D713" s="23" t="str">
        <x:v>Poison</x:v>
      </x:c>
      <x:c r="E713" s="23" t="str">
        <x:v>Eau</x:v>
      </x:c>
      <x:c r="F713" s="23" t="str">
        <x:v>Rare</x:v>
      </x:c>
      <x:c r="G713" s="45" t="n">
        <x:v>12000</x:v>
      </x:c>
      <x:c r="H713" s="45" t="n">
        <x:f>IF(G713="","",ROUNDUP(G713*3,0))</x:f>
        <x:v>36000</x:v>
      </x:c>
      <x:c r="I713" s="41" t="n">
        <x:v>0.462</x:v>
      </x:c>
      <x:c r="J713" s="42" t="n">
        <x:v>50</x:v>
      </x:c>
      <x:c r="K713" s="42" t="n">
        <x:v>53</x:v>
      </x:c>
      <x:c r="L713" s="42" t="n">
        <x:v>62</x:v>
      </x:c>
      <x:c r="M713" s="42" t="n">
        <x:v>43</x:v>
      </x:c>
      <x:c r="N713" s="42" t="n">
        <x:v>52</x:v>
      </x:c>
      <x:c r="O713" s="42" t="n">
        <x:v>45</x:v>
      </x:c>
      <x:c r="P713" s="43" t="n">
        <x:f>IF(COUNT(J713:O713)=0,"",SUM(J713:O713))</x:f>
        <x:v>305</x:v>
      </x:c>
      <x:c r="Q713" s="23" t="str">
        <x:v>13 lignes de spawn</x:v>
      </x:c>
      <x:c r="R713" s="23" t="str">
        <x:v>Elles mangent les branches de Corayon, ce qui vaut à Vorastérie d'être détesté des artisans qui travaillent les branches tombées naturellement.</x:v>
      </x:c>
      <x:c r="S713" s="23" t="str"/>
      <x:c r="T713" s="23" t="str">
        <x:v>https://pixelmonmod.com/wiki/Mareanie</x:v>
      </x:c>
    </x:row>
    <x:row r="714" ht="54" customHeight="1">
      <x:c r="A714" s="27" t="n">
        <x:v>748</x:v>
      </x:c>
      <x:c r="B714" s="23" t="str">
        <x:v>Prédastérie</x:v>
      </x:c>
      <x:c r="C714" s="23" t="str">
        <x:v>Toxapex</x:v>
      </x:c>
      <x:c r="D714" s="23" t="str">
        <x:v>Poison</x:v>
      </x:c>
      <x:c r="E714" s="23" t="str">
        <x:v>Eau</x:v>
      </x:c>
      <x:c r="F714" s="23" t="str">
        <x:v>Ultra Rare</x:v>
      </x:c>
      <x:c r="G714" s="45" t="n">
        <x:v>75000</x:v>
      </x:c>
      <x:c r="H714" s="45" t="n">
        <x:f>IF(G714="","",ROUNDUP(G714*3,0))</x:f>
        <x:v>225000</x:v>
      </x:c>
      <x:c r="I714" s="41" t="n">
        <x:v>1</x:v>
      </x:c>
      <x:c r="J714" s="42" t="n">
        <x:v>50</x:v>
      </x:c>
      <x:c r="K714" s="42" t="n">
        <x:v>63</x:v>
      </x:c>
      <x:c r="L714" s="42" t="n">
        <x:v>152</x:v>
      </x:c>
      <x:c r="M714" s="42" t="n">
        <x:v>53</x:v>
      </x:c>
      <x:c r="N714" s="42" t="n">
        <x:v>142</x:v>
      </x:c>
      <x:c r="O714" s="42" t="n">
        <x:v>35</x:v>
      </x:c>
      <x:c r="P714" s="43" t="n">
        <x:f>IF(COUNT(J714:O714)=0,"",SUM(J714:O714))</x:f>
        <x:v>495</x:v>
      </x:c>
      <x:c r="Q714" s="23" t="str">
        <x:v>8 lignes de spawn</x:v>
      </x:c>
      <x:c r="R714" s="23" t="str">
        <x:v>Pour attaquer, ce Pokémon projette des pics toxiques sur ses ennemis. Ceux qui s'approchent trop près sont taillés en pièces par les griffes de ses pattes.</x:v>
      </x:c>
      <x:c r="S714" s="23" t="str"/>
      <x:c r="T714" s="23" t="str">
        <x:v>https://pixelmonmod.com/wiki/Toxapex</x:v>
      </x:c>
    </x:row>
    <x:row r="715" ht="54" customHeight="1">
      <x:c r="A715" s="27" t="n">
        <x:v>749</x:v>
      </x:c>
      <x:c r="B715" s="23" t="str">
        <x:v>Tiboudet</x:v>
      </x:c>
      <x:c r="C715" s="23" t="str">
        <x:v>Mudbray</x:v>
      </x:c>
      <x:c r="D715" s="23" t="str">
        <x:v>Sol</x:v>
      </x:c>
      <x:c r="E715" s="23" t="str"/>
      <x:c r="F715" s="23" t="str">
        <x:v>Uncommon</x:v>
      </x:c>
      <x:c r="G715" s="45" t="n">
        <x:v>5000</x:v>
      </x:c>
      <x:c r="H715" s="45" t="n">
        <x:f>IF(G715="","",ROUNDUP(G715*3,0))</x:f>
        <x:v>15000</x:v>
      </x:c>
      <x:c r="I715" s="41" t="n">
        <x:v>1</x:v>
      </x:c>
      <x:c r="J715" s="42" t="n">
        <x:v>70</x:v>
      </x:c>
      <x:c r="K715" s="42" t="n">
        <x:v>100</x:v>
      </x:c>
      <x:c r="L715" s="42" t="n">
        <x:v>70</x:v>
      </x:c>
      <x:c r="M715" s="42" t="n">
        <x:v>45</x:v>
      </x:c>
      <x:c r="N715" s="42" t="n">
        <x:v>55</x:v>
      </x:c>
      <x:c r="O715" s="42" t="n">
        <x:v>45</x:v>
      </x:c>
      <x:c r="P715" s="43" t="n">
        <x:f>IF(COUNT(J715:O715)=0,"",SUM(J715:O715))</x:f>
        <x:v>385</x:v>
      </x:c>
      <x:c r="Q715" s="23" t="str">
        <x:v>2 lignes de spawn</x:v>
      </x:c>
      <x:c r="R715" s="23" t="str">
        <x:v>Il adore jouer dans la boue. S'il ne s'en recouvre pas quotidiennement, il devient stressé et n'écoute plus son Dresseur.</x:v>
      </x:c>
      <x:c r="S715" s="23" t="str">
        <x:v>Rareté vérifiée sur la page Pixelmon : 2 apparitions Uncommon.</x:v>
      </x:c>
      <x:c r="T715" s="23" t="str">
        <x:v>https://pixelmonmod.com/wiki/Mudbray</x:v>
      </x:c>
    </x:row>
    <x:row r="716" ht="54" customHeight="1">
      <x:c r="A716" s="27" t="n">
        <x:v>750</x:v>
      </x:c>
      <x:c r="B716" s="23" t="str">
        <x:v>Bourrinos</x:v>
      </x:c>
      <x:c r="C716" s="23" t="str">
        <x:v>Mudsdale</x:v>
      </x:c>
      <x:c r="D716" s="23" t="str">
        <x:v>Sol</x:v>
      </x:c>
      <x:c r="E716" s="23" t="str"/>
      <x:c r="F716" s="23" t="str">
        <x:v>Non classé</x:v>
      </x:c>
      <x:c r="G716" s="45"/>
      <x:c r="H716" s="45" t="str">
        <x:f>IF(G716="","",ROUNDUP(G716*3,0))</x:f>
      </x:c>
      <x:c r="I716" s="41"/>
      <x:c r="J716" s="42" t="n">
        <x:v>100</x:v>
      </x:c>
      <x:c r="K716" s="42" t="n">
        <x:v>125</x:v>
      </x:c>
      <x:c r="L716" s="42" t="n">
        <x:v>100</x:v>
      </x:c>
      <x:c r="M716" s="42" t="n">
        <x:v>55</x:v>
      </x:c>
      <x:c r="N716" s="42" t="n">
        <x:v>85</x:v>
      </x:c>
      <x:c r="O716" s="42" t="n">
        <x:v>35</x:v>
      </x:c>
      <x:c r="P716" s="43" t="n">
        <x:f>IF(COUNT(J716:O716)=0,"",SUM(J716:O716))</x:f>
        <x:v>500</x:v>
      </x:c>
      <x:c r="Q716" s="23" t="str">
        <x:v>Aucune ligne classée</x:v>
      </x:c>
      <x:c r="R716" s="23" t="str">
        <x:v>Il reste calme et immobile quelles que soient les circonstances. Il mélange de la terre à la salive dans sa bouche pour fabriquer une sorte de boue particulière.</x:v>
      </x:c>
      <x:c r="S716" s="23" t="str">
        <x:v>Aucune rareté wiki exploitable; prix à fixer.</x:v>
      </x:c>
      <x:c r="T716" s="23" t="str">
        <x:v>https://pixelmonmod.com/wiki/Mudsdale</x:v>
      </x:c>
    </x:row>
    <x:row r="717" ht="54" customHeight="1">
      <x:c r="A717" s="27" t="n">
        <x:v>751</x:v>
      </x:c>
      <x:c r="B717" s="23" t="str">
        <x:v>Araqua</x:v>
      </x:c>
      <x:c r="C717" s="23" t="str">
        <x:v>Dewpider</x:v>
      </x:c>
      <x:c r="D717" s="23" t="str">
        <x:v>Eau</x:v>
      </x:c>
      <x:c r="E717" s="23" t="str">
        <x:v>Insecte</x:v>
      </x:c>
      <x:c r="F717" s="23" t="str">
        <x:v>Uncommon</x:v>
      </x:c>
      <x:c r="G717" s="45" t="n">
        <x:v>5000</x:v>
      </x:c>
      <x:c r="H717" s="45" t="n">
        <x:f>IF(G717="","",ROUNDUP(G717*3,0))</x:f>
        <x:v>15000</x:v>
      </x:c>
      <x:c r="I717" s="41" t="n">
        <x:v>0.6920000000000001</x:v>
      </x:c>
      <x:c r="J717" s="42" t="n">
        <x:v>38</x:v>
      </x:c>
      <x:c r="K717" s="42" t="n">
        <x:v>40</x:v>
      </x:c>
      <x:c r="L717" s="42" t="n">
        <x:v>52</x:v>
      </x:c>
      <x:c r="M717" s="42" t="n">
        <x:v>40</x:v>
      </x:c>
      <x:c r="N717" s="42" t="n">
        <x:v>72</x:v>
      </x:c>
      <x:c r="O717" s="42" t="n">
        <x:v>27</x:v>
      </x:c>
      <x:c r="P717" s="43" t="n">
        <x:f>IF(COUNT(J717:O717)=0,"",SUM(J717:O717))</x:f>
        <x:v>269</x:v>
      </x:c>
      <x:c r="Q717" s="23" t="str">
        <x:v>13 lignes de spawn</x:v>
      </x:c>
      <x:c r="R717" s="23" t="str">
        <x:v>Quand deux Araqua se rencontrent, ils exhibent leurs bulles d'eau. Celui dont la bulle est la plus petite s'écarte alors de l'autre.</x:v>
      </x:c>
      <x:c r="S717" s="23" t="str"/>
      <x:c r="T717" s="23" t="str">
        <x:v>https://pixelmonmod.com/wiki/Dewpider</x:v>
      </x:c>
    </x:row>
    <x:row r="718" ht="54" customHeight="1">
      <x:c r="A718" s="27" t="n">
        <x:v>752</x:v>
      </x:c>
      <x:c r="B718" s="23" t="str">
        <x:v>Tarenbulle</x:v>
      </x:c>
      <x:c r="C718" s="23" t="str">
        <x:v>Araquanid</x:v>
      </x:c>
      <x:c r="D718" s="23" t="str">
        <x:v>Eau</x:v>
      </x:c>
      <x:c r="E718" s="23" t="str">
        <x:v>Insecte</x:v>
      </x:c>
      <x:c r="F718" s="23" t="str">
        <x:v>Ultra Rare</x:v>
      </x:c>
      <x:c r="G718" s="45" t="n">
        <x:v>75000</x:v>
      </x:c>
      <x:c r="H718" s="45" t="n">
        <x:f>IF(G718="","",ROUNDUP(G718*3,0))</x:f>
        <x:v>225000</x:v>
      </x:c>
      <x:c r="I718" s="41" t="n">
        <x:v>0.9329999999999999</x:v>
      </x:c>
      <x:c r="J718" s="42" t="n">
        <x:v>68</x:v>
      </x:c>
      <x:c r="K718" s="42" t="n">
        <x:v>70</x:v>
      </x:c>
      <x:c r="L718" s="42" t="n">
        <x:v>92</x:v>
      </x:c>
      <x:c r="M718" s="42" t="n">
        <x:v>50</x:v>
      </x:c>
      <x:c r="N718" s="42" t="n">
        <x:v>132</x:v>
      </x:c>
      <x:c r="O718" s="42" t="n">
        <x:v>42</x:v>
      </x:c>
      <x:c r="P718" s="43" t="n">
        <x:f>IF(COUNT(J718:O718)=0,"",SUM(J718:O718))</x:f>
        <x:v>454</x:v>
      </x:c>
      <x:c r="Q718" s="23" t="str">
        <x:v>15 lignes de spawn</x:v>
      </x:c>
      <x:c r="R718" s="23" t="str">
        <x:v>Il passe généralement son temps dans l'eau. Une fois rassasié, il conserve ses proies neutralisées dans la bulle d'eau qu'il a sur la tête.</x:v>
      </x:c>
      <x:c r="S718" s="23" t="str"/>
      <x:c r="T718" s="23" t="str">
        <x:v>https://pixelmonmod.com/wiki/Araquanid</x:v>
      </x:c>
    </x:row>
    <x:row r="719" ht="54" customHeight="1">
      <x:c r="A719" s="27" t="n">
        <x:v>753</x:v>
      </x:c>
      <x:c r="B719" s="23" t="str">
        <x:v>Mimantis</x:v>
      </x:c>
      <x:c r="C719" s="23" t="str">
        <x:v>Fomantis</x:v>
      </x:c>
      <x:c r="D719" s="23" t="str">
        <x:v>Plante</x:v>
      </x:c>
      <x:c r="E719" s="23" t="str"/>
      <x:c r="F719" s="23" t="str">
        <x:v>Rare</x:v>
      </x:c>
      <x:c r="G719" s="45" t="n">
        <x:v>12000</x:v>
      </x:c>
      <x:c r="H719" s="45" t="n">
        <x:f>IF(G719="","",ROUNDUP(G719*3,0))</x:f>
        <x:v>36000</x:v>
      </x:c>
      <x:c r="I719" s="41" t="n">
        <x:v>1</x:v>
      </x:c>
      <x:c r="J719" s="42" t="n">
        <x:v>40</x:v>
      </x:c>
      <x:c r="K719" s="42" t="n">
        <x:v>55</x:v>
      </x:c>
      <x:c r="L719" s="42" t="n">
        <x:v>35</x:v>
      </x:c>
      <x:c r="M719" s="42" t="n">
        <x:v>50</x:v>
      </x:c>
      <x:c r="N719" s="42" t="n">
        <x:v>35</x:v>
      </x:c>
      <x:c r="O719" s="42" t="n">
        <x:v>35</x:v>
      </x:c>
      <x:c r="P719" s="43" t="n">
        <x:f>IF(COUNT(J719:O719)=0,"",SUM(J719:O719))</x:f>
        <x:v>250</x:v>
      </x:c>
      <x:c r="Q719" s="23" t="str">
        <x:v>1 lignes de spawn</x:v>
      </x:c>
      <x:c r="R719" s="23" t="str">
        <x:v>Au lever du soleil, Mimantis déploie ses quatre feuilles pour se baigner dans la lumière. L'extrémité de sa tête dégage une agréable odeur.</x:v>
      </x:c>
      <x:c r="S719" s="23" t="str"/>
      <x:c r="T719" s="23" t="str">
        <x:v>https://pixelmonmod.com/wiki/Fomantis</x:v>
      </x:c>
    </x:row>
    <x:row r="720" ht="54" customHeight="1">
      <x:c r="A720" s="27" t="n">
        <x:v>754</x:v>
      </x:c>
      <x:c r="B720" s="23" t="str">
        <x:v>Floramantis</x:v>
      </x:c>
      <x:c r="C720" s="23" t="str">
        <x:v>Lurantis</x:v>
      </x:c>
      <x:c r="D720" s="23" t="str">
        <x:v>Plante</x:v>
      </x:c>
      <x:c r="E720" s="23" t="str"/>
      <x:c r="F720" s="23" t="str">
        <x:v>Rare / Ultra Rare</x:v>
      </x:c>
      <x:c r="G720" s="45" t="n">
        <x:v>75000</x:v>
      </x:c>
      <x:c r="H720" s="45" t="n">
        <x:f>IF(G720="","",ROUNDUP(G720*3,0))</x:f>
        <x:v>225000</x:v>
      </x:c>
      <x:c r="I720" s="41" t="n">
        <x:v>0.5</x:v>
      </x:c>
      <x:c r="J720" s="42" t="n">
        <x:v>70</x:v>
      </x:c>
      <x:c r="K720" s="42" t="n">
        <x:v>105</x:v>
      </x:c>
      <x:c r="L720" s="42" t="n">
        <x:v>90</x:v>
      </x:c>
      <x:c r="M720" s="42" t="n">
        <x:v>80</x:v>
      </x:c>
      <x:c r="N720" s="42" t="n">
        <x:v>90</x:v>
      </x:c>
      <x:c r="O720" s="42" t="n">
        <x:v>45</x:v>
      </x:c>
      <x:c r="P720" s="43" t="n">
        <x:f>IF(COUNT(J720:O720)=0,"",SUM(J720:O720))</x:f>
        <x:v>480</x:v>
      </x:c>
      <x:c r="Q720" s="23" t="str">
        <x:v>2 lignes de spawn</x:v>
      </x:c>
      <x:c r="R720" s="23" t="str">
        <x:v>Pour se protéger, il fait croire qu'il est un Pokémon Insecte. Ses deux bras portent des pétales coupants.</x:v>
      </x:c>
      <x:c r="S720" s="23" t="str">
        <x:v>Égalité de fréquence; prix provisoire basé sur le palier le plus élevé.</x:v>
      </x:c>
      <x:c r="T720" s="23" t="str">
        <x:v>https://pixelmonmod.com/wiki/Lurantis</x:v>
      </x:c>
    </x:row>
    <x:row r="721" ht="54" customHeight="1">
      <x:c r="A721" s="27" t="n">
        <x:v>755</x:v>
      </x:c>
      <x:c r="B721" s="23" t="str">
        <x:v>Spododo</x:v>
      </x:c>
      <x:c r="C721" s="23" t="str">
        <x:v>Morelull</x:v>
      </x:c>
      <x:c r="D721" s="23" t="str">
        <x:v>Plante</x:v>
      </x:c>
      <x:c r="E721" s="23" t="str">
        <x:v>Fée</x:v>
      </x:c>
      <x:c r="F721" s="23" t="str">
        <x:v>Uncommon</x:v>
      </x:c>
      <x:c r="G721" s="45" t="n">
        <x:v>5000</x:v>
      </x:c>
      <x:c r="H721" s="45" t="n">
        <x:f>IF(G721="","",ROUNDUP(G721*3,0))</x:f>
        <x:v>15000</x:v>
      </x:c>
      <x:c r="I721" s="41" t="n">
        <x:v>1</x:v>
      </x:c>
      <x:c r="J721" s="42" t="n">
        <x:v>40</x:v>
      </x:c>
      <x:c r="K721" s="42" t="n">
        <x:v>35</x:v>
      </x:c>
      <x:c r="L721" s="42" t="n">
        <x:v>55</x:v>
      </x:c>
      <x:c r="M721" s="42" t="n">
        <x:v>65</x:v>
      </x:c>
      <x:c r="N721" s="42" t="n">
        <x:v>75</x:v>
      </x:c>
      <x:c r="O721" s="42" t="n">
        <x:v>15</x:v>
      </x:c>
      <x:c r="P721" s="43" t="n">
        <x:f>IF(COUNT(J721:O721)=0,"",SUM(J721:O721))</x:f>
        <x:v>285</x:v>
      </x:c>
      <x:c r="Q721" s="23" t="str">
        <x:v>7 lignes de spawn</x:v>
      </x:c>
      <x:c r="R721" s="23" t="str">
        <x:v>Il disperse autour de lui des spores lumineuses. Bien qu'elles soient dangereuses, les excursions nocturnes dans les forêts où vivent les Spododo restent très populaires.</x:v>
      </x:c>
      <x:c r="S721" s="23" t="str"/>
      <x:c r="T721" s="23" t="str">
        <x:v>https://pixelmonmod.com/wiki/Morelull</x:v>
      </x:c>
    </x:row>
    <x:row r="722" ht="54" customHeight="1">
      <x:c r="A722" s="27" t="n">
        <x:v>756</x:v>
      </x:c>
      <x:c r="B722" s="23" t="str">
        <x:v>Lampignon</x:v>
      </x:c>
      <x:c r="C722" s="23" t="str">
        <x:v>Shiinotic</x:v>
      </x:c>
      <x:c r="D722" s="23" t="str">
        <x:v>Plante</x:v>
      </x:c>
      <x:c r="E722" s="23" t="str">
        <x:v>Fée</x:v>
      </x:c>
      <x:c r="F722" s="23" t="str">
        <x:v>Ultra Rare</x:v>
      </x:c>
      <x:c r="G722" s="45" t="n">
        <x:v>75000</x:v>
      </x:c>
      <x:c r="H722" s="45" t="n">
        <x:f>IF(G722="","",ROUNDUP(G722*3,0))</x:f>
        <x:v>225000</x:v>
      </x:c>
      <x:c r="I722" s="41" t="n">
        <x:v>1</x:v>
      </x:c>
      <x:c r="J722" s="42" t="n">
        <x:v>60</x:v>
      </x:c>
      <x:c r="K722" s="42" t="n">
        <x:v>45</x:v>
      </x:c>
      <x:c r="L722" s="42" t="n">
        <x:v>80</x:v>
      </x:c>
      <x:c r="M722" s="42" t="n">
        <x:v>90</x:v>
      </x:c>
      <x:c r="N722" s="42" t="n">
        <x:v>100</x:v>
      </x:c>
      <x:c r="O722" s="42" t="n">
        <x:v>30</x:v>
      </x:c>
      <x:c r="P722" s="43" t="n">
        <x:f>IF(COUNT(J722:O722)=0,"",SUM(J722:O722))</x:f>
        <x:v>405</x:v>
      </x:c>
      <x:c r="Q722" s="23" t="str">
        <x:v>7 lignes de spawn</x:v>
      </x:c>
      <x:c r="R722" s="23" t="str">
        <x:v>Il endort ses proies puis leur siphonne leur énergie vitale par l'extrémité de ses bras. Si l'un de ses congénères est affaibli, il partage avec lui une partie de son énergie.</x:v>
      </x:c>
      <x:c r="S722" s="23" t="str"/>
      <x:c r="T722" s="23" t="str">
        <x:v>https://pixelmonmod.com/wiki/Shiinotic</x:v>
      </x:c>
    </x:row>
    <x:row r="723" ht="54" customHeight="1">
      <x:c r="A723" s="27" t="n">
        <x:v>757</x:v>
      </x:c>
      <x:c r="B723" s="23" t="str">
        <x:v>Tritox</x:v>
      </x:c>
      <x:c r="C723" s="23" t="str">
        <x:v>Salandit</x:v>
      </x:c>
      <x:c r="D723" s="23" t="str">
        <x:v>Poison</x:v>
      </x:c>
      <x:c r="E723" s="23" t="str">
        <x:v>Feu</x:v>
      </x:c>
      <x:c r="F723" s="23" t="str">
        <x:v>Uncommon</x:v>
      </x:c>
      <x:c r="G723" s="45" t="n">
        <x:v>5000</x:v>
      </x:c>
      <x:c r="H723" s="45" t="n">
        <x:f>IF(G723="","",ROUNDUP(G723*3,0))</x:f>
        <x:v>15000</x:v>
      </x:c>
      <x:c r="I723" s="41" t="n">
        <x:v>0.44</x:v>
      </x:c>
      <x:c r="J723" s="42" t="n">
        <x:v>48</x:v>
      </x:c>
      <x:c r="K723" s="42" t="n">
        <x:v>44</x:v>
      </x:c>
      <x:c r="L723" s="42" t="n">
        <x:v>40</x:v>
      </x:c>
      <x:c r="M723" s="42" t="n">
        <x:v>71</x:v>
      </x:c>
      <x:c r="N723" s="42" t="n">
        <x:v>40</x:v>
      </x:c>
      <x:c r="O723" s="42" t="n">
        <x:v>77</x:v>
      </x:c>
      <x:c r="P723" s="43" t="n">
        <x:f>IF(COUNT(J723:O723)=0,"",SUM(J723:O723))</x:f>
        <x:v>320</x:v>
      </x:c>
      <x:c r="Q723" s="23" t="str">
        <x:v>25 lignes de spawn</x:v>
      </x:c>
      <x:c r="R723" s="23" t="str">
        <x:v>Les mâles obéissent aveuglément aux ordres des femelles. Ils leur donnent la majorité de leur nourriture. Souffrant de malnutrition, les mâles sont incapables d'évoluer.</x:v>
      </x:c>
      <x:c r="S723" s="23" t="str"/>
      <x:c r="T723" s="23" t="str">
        <x:v>https://pixelmonmod.com/wiki/Salandit</x:v>
      </x:c>
    </x:row>
    <x:row r="724" ht="54" customHeight="1">
      <x:c r="A724" s="27" t="n">
        <x:v>758</x:v>
      </x:c>
      <x:c r="B724" s="23" t="str">
        <x:v>Malamandre</x:v>
      </x:c>
      <x:c r="C724" s="23" t="str">
        <x:v>Salazzle</x:v>
      </x:c>
      <x:c r="D724" s="23" t="str">
        <x:v>Poison</x:v>
      </x:c>
      <x:c r="E724" s="23" t="str">
        <x:v>Feu</x:v>
      </x:c>
      <x:c r="F724" s="23" t="str">
        <x:v>Ultra Rare</x:v>
      </x:c>
      <x:c r="G724" s="45" t="n">
        <x:v>75000</x:v>
      </x:c>
      <x:c r="H724" s="45" t="n">
        <x:f>IF(G724="","",ROUNDUP(G724*3,0))</x:f>
        <x:v>225000</x:v>
      </x:c>
      <x:c r="I724" s="41" t="n">
        <x:v>1</x:v>
      </x:c>
      <x:c r="J724" s="42" t="n">
        <x:v>68</x:v>
      </x:c>
      <x:c r="K724" s="42" t="n">
        <x:v>64</x:v>
      </x:c>
      <x:c r="L724" s="42" t="n">
        <x:v>60</x:v>
      </x:c>
      <x:c r="M724" s="42" t="n">
        <x:v>111</x:v>
      </x:c>
      <x:c r="N724" s="42" t="n">
        <x:v>60</x:v>
      </x:c>
      <x:c r="O724" s="42" t="n">
        <x:v>117</x:v>
      </x:c>
      <x:c r="P724" s="43" t="n">
        <x:f>IF(COUNT(J724:O724)=0,"",SUM(J724:O724))</x:f>
        <x:v>480</x:v>
      </x:c>
      <x:c r="Q724" s="23" t="str">
        <x:v>18 lignes de spawn</x:v>
      </x:c>
      <x:c r="R724" s="23" t="str">
        <x:v>Malamandre vit au fond des grottes et force les Tritox qu'elle attire grâce à ses phéromones à lui servir d'escorte.</x:v>
      </x:c>
      <x:c r="S724" s="23" t="str"/>
      <x:c r="T724" s="23" t="str">
        <x:v>https://pixelmonmod.com/wiki/Salazzle</x:v>
      </x:c>
    </x:row>
    <x:row r="725" ht="54" customHeight="1">
      <x:c r="A725" s="27" t="n">
        <x:v>759</x:v>
      </x:c>
      <x:c r="B725" s="23" t="str">
        <x:v>Nounourson</x:v>
      </x:c>
      <x:c r="C725" s="23" t="str">
        <x:v>Stufful</x:v>
      </x:c>
      <x:c r="D725" s="23" t="str">
        <x:v>Normal</x:v>
      </x:c>
      <x:c r="E725" s="23" t="str">
        <x:v>Combat</x:v>
      </x:c>
      <x:c r="F725" s="23" t="str">
        <x:v>Common</x:v>
      </x:c>
      <x:c r="G725" s="45" t="n">
        <x:v>2000</x:v>
      </x:c>
      <x:c r="H725" s="45" t="n">
        <x:f>IF(G725="","",ROUNDUP(G725*3,0))</x:f>
        <x:v>6000</x:v>
      </x:c>
      <x:c r="I725" s="41" t="n">
        <x:v>1</x:v>
      </x:c>
      <x:c r="J725" s="42" t="n">
        <x:v>70</x:v>
      </x:c>
      <x:c r="K725" s="42" t="n">
        <x:v>75</x:v>
      </x:c>
      <x:c r="L725" s="42" t="n">
        <x:v>50</x:v>
      </x:c>
      <x:c r="M725" s="42" t="n">
        <x:v>45</x:v>
      </x:c>
      <x:c r="N725" s="42" t="n">
        <x:v>50</x:v>
      </x:c>
      <x:c r="O725" s="42" t="n">
        <x:v>50</x:v>
      </x:c>
      <x:c r="P725" s="43" t="n">
        <x:f>IF(COUNT(J725:O725)=0,"",SUM(J725:O725))</x:f>
        <x:v>340</x:v>
      </x:c>
      <x:c r="Q725" s="23" t="str">
        <x:v>3 lignes de spawn</x:v>
      </x:c>
      <x:c r="R725" s="23" t="str">
        <x:v>Il est assez puissant pour fendre de grands arbres en deux. L'organe situé sur son arrière-train libère une odeur qu'il utilise pour communiquer avec les siens.</x:v>
      </x:c>
      <x:c r="S725" s="23" t="str"/>
      <x:c r="T725" s="23" t="str">
        <x:v>https://pixelmonmod.com/wiki/Stufful</x:v>
      </x:c>
    </x:row>
    <x:row r="726" ht="54" customHeight="1">
      <x:c r="A726" s="27" t="n">
        <x:v>760</x:v>
      </x:c>
      <x:c r="B726" s="23" t="str">
        <x:v>Chelours</x:v>
      </x:c>
      <x:c r="C726" s="23" t="str">
        <x:v>Bewear</x:v>
      </x:c>
      <x:c r="D726" s="23" t="str">
        <x:v>Normal</x:v>
      </x:c>
      <x:c r="E726" s="23" t="str">
        <x:v>Combat</x:v>
      </x:c>
      <x:c r="F726" s="23" t="str">
        <x:v>Ultra Rare</x:v>
      </x:c>
      <x:c r="G726" s="45" t="n">
        <x:v>75000</x:v>
      </x:c>
      <x:c r="H726" s="45" t="n">
        <x:f>IF(G726="","",ROUNDUP(G726*3,0))</x:f>
        <x:v>225000</x:v>
      </x:c>
      <x:c r="I726" s="41" t="n">
        <x:v>1</x:v>
      </x:c>
      <x:c r="J726" s="42" t="n">
        <x:v>120</x:v>
      </x:c>
      <x:c r="K726" s="42" t="n">
        <x:v>125</x:v>
      </x:c>
      <x:c r="L726" s="42" t="n">
        <x:v>80</x:v>
      </x:c>
      <x:c r="M726" s="42" t="n">
        <x:v>55</x:v>
      </x:c>
      <x:c r="N726" s="42" t="n">
        <x:v>60</x:v>
      </x:c>
      <x:c r="O726" s="42" t="n">
        <x:v>60</x:v>
      </x:c>
      <x:c r="P726" s="43" t="n">
        <x:f>IF(COUNT(J726:O726)=0,"",SUM(J726:O726))</x:f>
        <x:v>500</x:v>
      </x:c>
      <x:c r="Q726" s="23" t="str">
        <x:v>3 lignes de spawn</x:v>
      </x:c>
      <x:c r="R726" s="23" t="str">
        <x:v>Il agite les bras sauvagement pour intimider et prévenir. Ceux qui ne prennent pas la fuite immédiatement n'ont plus aucune chance.</x:v>
      </x:c>
      <x:c r="S726" s="23" t="str"/>
      <x:c r="T726" s="23" t="str">
        <x:v>https://pixelmonmod.com/wiki/Bewear</x:v>
      </x:c>
    </x:row>
    <x:row r="727" ht="54" customHeight="1">
      <x:c r="A727" s="27" t="n">
        <x:v>761</x:v>
      </x:c>
      <x:c r="B727" s="23" t="str">
        <x:v>Croquine</x:v>
      </x:c>
      <x:c r="C727" s="23" t="str">
        <x:v>Bounsweet</x:v>
      </x:c>
      <x:c r="D727" s="23" t="str">
        <x:v>Plante</x:v>
      </x:c>
      <x:c r="E727" s="23" t="str"/>
      <x:c r="F727" s="23" t="str">
        <x:v>Uncommon</x:v>
      </x:c>
      <x:c r="G727" s="45" t="n">
        <x:v>5000</x:v>
      </x:c>
      <x:c r="H727" s="45" t="n">
        <x:f>IF(G727="","",ROUNDUP(G727*3,0))</x:f>
        <x:v>15000</x:v>
      </x:c>
      <x:c r="I727" s="41" t="n">
        <x:v>1</x:v>
      </x:c>
      <x:c r="J727" s="42" t="n">
        <x:v>42</x:v>
      </x:c>
      <x:c r="K727" s="42" t="n">
        <x:v>30</x:v>
      </x:c>
      <x:c r="L727" s="42" t="n">
        <x:v>38</x:v>
      </x:c>
      <x:c r="M727" s="42" t="n">
        <x:v>30</x:v>
      </x:c>
      <x:c r="N727" s="42" t="n">
        <x:v>38</x:v>
      </x:c>
      <x:c r="O727" s="42" t="n">
        <x:v>32</x:v>
      </x:c>
      <x:c r="P727" s="43" t="n">
        <x:f>IF(COUNT(J727:O727)=0,"",SUM(J727:O727))</x:f>
        <x:v>210</x:v>
      </x:c>
      <x:c r="Q727" s="23" t="str">
        <x:v>5 lignes de spawn</x:v>
      </x:c>
      <x:c r="R727" s="23" t="str">
        <x:v>À cause de son arôme sucré et délicieux, les Pokémon oiseaux le pourchassent sans arrêt, mais il n'est pas assez intelligent pour s'en soucier.</x:v>
      </x:c>
      <x:c r="S727" s="23" t="str"/>
      <x:c r="T727" s="23" t="str">
        <x:v>https://pixelmonmod.com/wiki/Bounsweet</x:v>
      </x:c>
    </x:row>
    <x:row r="728" ht="54" customHeight="1">
      <x:c r="A728" s="27" t="n">
        <x:v>762</x:v>
      </x:c>
      <x:c r="B728" s="23" t="str">
        <x:v>Candine</x:v>
      </x:c>
      <x:c r="C728" s="23" t="str">
        <x:v>Steenee</x:v>
      </x:c>
      <x:c r="D728" s="23" t="str">
        <x:v>Plante</x:v>
      </x:c>
      <x:c r="E728" s="23" t="str"/>
      <x:c r="F728" s="23" t="str">
        <x:v>Rare / Ultra Rare</x:v>
      </x:c>
      <x:c r="G728" s="45" t="n">
        <x:v>75000</x:v>
      </x:c>
      <x:c r="H728" s="45" t="n">
        <x:f>IF(G728="","",ROUNDUP(G728*3,0))</x:f>
        <x:v>225000</x:v>
      </x:c>
      <x:c r="I728" s="41" t="n">
        <x:v>0.5</x:v>
      </x:c>
      <x:c r="J728" s="42" t="n">
        <x:v>52</x:v>
      </x:c>
      <x:c r="K728" s="42" t="n">
        <x:v>40</x:v>
      </x:c>
      <x:c r="L728" s="42" t="n">
        <x:v>48</x:v>
      </x:c>
      <x:c r="M728" s="42" t="n">
        <x:v>40</x:v>
      </x:c>
      <x:c r="N728" s="42" t="n">
        <x:v>48</x:v>
      </x:c>
      <x:c r="O728" s="42" t="n">
        <x:v>62</x:v>
      </x:c>
      <x:c r="P728" s="43" t="n">
        <x:f>IF(COUNT(J728:O728)=0,"",SUM(J728:O728))</x:f>
        <x:v>290</x:v>
      </x:c>
      <x:c r="Q728" s="23" t="str">
        <x:v>4 lignes de spawn</x:v>
      </x:c>
      <x:c r="R728" s="23" t="str">
        <x:v>Protégée par ses sépales durs, elle joue avec les Pokémon Oiseaux sans s'inquiéter. Ils la picorent sans relâche, mais cela ne la dérange pas.</x:v>
      </x:c>
      <x:c r="S728" s="23" t="str">
        <x:v>Égalité de fréquence; prix provisoire basé sur le palier le plus élevé.</x:v>
      </x:c>
      <x:c r="T728" s="23" t="str">
        <x:v>https://pixelmonmod.com/wiki/Steenee</x:v>
      </x:c>
    </x:row>
    <x:row r="729" ht="54" customHeight="1">
      <x:c r="A729" s="27" t="n">
        <x:v>763</x:v>
      </x:c>
      <x:c r="B729" s="23" t="str">
        <x:v>Sucreine</x:v>
      </x:c>
      <x:c r="C729" s="23" t="str">
        <x:v>Tsareena</x:v>
      </x:c>
      <x:c r="D729" s="23" t="str">
        <x:v>Plante</x:v>
      </x:c>
      <x:c r="E729" s="23" t="str"/>
      <x:c r="F729" s="23" t="str">
        <x:v>Ultra Rare</x:v>
      </x:c>
      <x:c r="G729" s="45" t="n">
        <x:v>75000</x:v>
      </x:c>
      <x:c r="H729" s="45" t="n">
        <x:f>IF(G729="","",ROUNDUP(G729*3,0))</x:f>
        <x:v>225000</x:v>
      </x:c>
      <x:c r="I729" s="41" t="n">
        <x:v>1</x:v>
      </x:c>
      <x:c r="J729" s="42" t="n">
        <x:v>72</x:v>
      </x:c>
      <x:c r="K729" s="42" t="n">
        <x:v>120</x:v>
      </x:c>
      <x:c r="L729" s="42" t="n">
        <x:v>98</x:v>
      </x:c>
      <x:c r="M729" s="42" t="n">
        <x:v>50</x:v>
      </x:c>
      <x:c r="N729" s="42" t="n">
        <x:v>98</x:v>
      </x:c>
      <x:c r="O729" s="42" t="n">
        <x:v>72</x:v>
      </x:c>
      <x:c r="P729" s="43" t="n">
        <x:f>IF(COUNT(J729:O729)=0,"",SUM(J729:O729))</x:f>
        <x:v>510</x:v>
      </x:c>
      <x:c r="Q729" s="23" t="str">
        <x:v>4 lignes de spawn</x:v>
      </x:c>
      <x:c r="R729" s="23" t="str">
        <x:v>Maîtresse des coups de pied gracieux et grandioses, elle peut mettre K.O. des champions de kickboxing d'un seul coup.</x:v>
      </x:c>
      <x:c r="S729" s="23" t="str"/>
      <x:c r="T729" s="23" t="str">
        <x:v>https://pixelmonmod.com/wiki/Tsareena</x:v>
      </x:c>
    </x:row>
    <x:row r="730" ht="54" customHeight="1">
      <x:c r="A730" s="27" t="n">
        <x:v>764</x:v>
      </x:c>
      <x:c r="B730" s="23" t="str">
        <x:v>Guérilande</x:v>
      </x:c>
      <x:c r="C730" s="23" t="str">
        <x:v>Comfey</x:v>
      </x:c>
      <x:c r="D730" s="23" t="str">
        <x:v>Fée</x:v>
      </x:c>
      <x:c r="E730" s="23" t="str"/>
      <x:c r="F730" s="23" t="str">
        <x:v>Rare</x:v>
      </x:c>
      <x:c r="G730" s="45" t="n">
        <x:v>12000</x:v>
      </x:c>
      <x:c r="H730" s="45" t="n">
        <x:f>IF(G730="","",ROUNDUP(G730*3,0))</x:f>
        <x:v>36000</x:v>
      </x:c>
      <x:c r="I730" s="41" t="n">
        <x:v>1</x:v>
      </x:c>
      <x:c r="J730" s="42" t="n">
        <x:v>51</x:v>
      </x:c>
      <x:c r="K730" s="42" t="n">
        <x:v>52</x:v>
      </x:c>
      <x:c r="L730" s="42" t="n">
        <x:v>90</x:v>
      </x:c>
      <x:c r="M730" s="42" t="n">
        <x:v>82</x:v>
      </x:c>
      <x:c r="N730" s="42" t="n">
        <x:v>110</x:v>
      </x:c>
      <x:c r="O730" s="42" t="n">
        <x:v>100</x:v>
      </x:c>
      <x:c r="P730" s="43" t="n">
        <x:f>IF(COUNT(J730:O730)=0,"",SUM(J730:O730))</x:f>
        <x:v>485</x:v>
      </x:c>
      <x:c r="Q730" s="23" t="str">
        <x:v>1 lignes de spawn</x:v>
      </x:c>
      <x:c r="R730" s="23" t="str">
        <x:v>Il étire les lianes collantes de sa tête pour cueillir des fleurs dont il se pare. Lorsqu'il n'en a plus, il se sent mal à l'aise.</x:v>
      </x:c>
      <x:c r="S730" s="23" t="str"/>
      <x:c r="T730" s="23" t="str">
        <x:v>https://pixelmonmod.com/wiki/Comfey</x:v>
      </x:c>
    </x:row>
    <x:row r="731" ht="54" customHeight="1">
      <x:c r="A731" s="27" t="n">
        <x:v>765</x:v>
      </x:c>
      <x:c r="B731" s="23" t="str">
        <x:v>Gouroutan</x:v>
      </x:c>
      <x:c r="C731" s="23" t="str">
        <x:v>Oranguru</x:v>
      </x:c>
      <x:c r="D731" s="23" t="str">
        <x:v>Normal</x:v>
      </x:c>
      <x:c r="E731" s="23" t="str">
        <x:v>Psy</x:v>
      </x:c>
      <x:c r="F731" s="23" t="str">
        <x:v>Very Rare / Ultra Rare</x:v>
      </x:c>
      <x:c r="G731" s="45" t="n">
        <x:v>75000</x:v>
      </x:c>
      <x:c r="H731" s="45" t="n">
        <x:f>IF(G731="","",ROUNDUP(G731*3,0))</x:f>
        <x:v>225000</x:v>
      </x:c>
      <x:c r="I731" s="41" t="n">
        <x:v>0.5</x:v>
      </x:c>
      <x:c r="J731" s="42" t="n">
        <x:v>90</x:v>
      </x:c>
      <x:c r="K731" s="42" t="n">
        <x:v>60</x:v>
      </x:c>
      <x:c r="L731" s="42" t="n">
        <x:v>80</x:v>
      </x:c>
      <x:c r="M731" s="42" t="n">
        <x:v>90</x:v>
      </x:c>
      <x:c r="N731" s="42" t="n">
        <x:v>110</x:v>
      </x:c>
      <x:c r="O731" s="42" t="n">
        <x:v>60</x:v>
      </x:c>
      <x:c r="P731" s="43" t="n">
        <x:f>IF(COUNT(J731:O731)=0,"",SUM(J731:O731))</x:f>
        <x:v>490</x:v>
      </x:c>
      <x:c r="Q731" s="23" t="str">
        <x:v>2 lignes de spawn</x:v>
      </x:c>
      <x:c r="R731" s="23" t="str">
        <x:v>Il passe habituellement son temps à méditer dans les cimes des arbres. Il lance des Poké Balls et donne des ordres aux autres Pokémon à sa guise.</x:v>
      </x:c>
      <x:c r="S731" s="23" t="str">
        <x:v>Égalité de fréquence; prix provisoire basé sur le palier le plus élevé. Very Rare aligné sur le palier Super Rare (provisoire).</x:v>
      </x:c>
      <x:c r="T731" s="23" t="str">
        <x:v>https://pixelmonmod.com/wiki/Oranguru</x:v>
      </x:c>
    </x:row>
    <x:row r="732" ht="54" customHeight="1">
      <x:c r="A732" s="27" t="n">
        <x:v>766</x:v>
      </x:c>
      <x:c r="B732" s="23" t="str">
        <x:v>Quartermac</x:v>
      </x:c>
      <x:c r="C732" s="23" t="str">
        <x:v>Passimian</x:v>
      </x:c>
      <x:c r="D732" s="23" t="str">
        <x:v>Combat</x:v>
      </x:c>
      <x:c r="E732" s="23" t="str"/>
      <x:c r="F732" s="23" t="str">
        <x:v>Very Rare / Ultra Rare</x:v>
      </x:c>
      <x:c r="G732" s="45" t="n">
        <x:v>75000</x:v>
      </x:c>
      <x:c r="H732" s="45" t="n">
        <x:f>IF(G732="","",ROUNDUP(G732*3,0))</x:f>
        <x:v>225000</x:v>
      </x:c>
      <x:c r="I732" s="41" t="n">
        <x:v>0.5</x:v>
      </x:c>
      <x:c r="J732" s="42" t="n">
        <x:v>100</x:v>
      </x:c>
      <x:c r="K732" s="42" t="n">
        <x:v>120</x:v>
      </x:c>
      <x:c r="L732" s="42" t="n">
        <x:v>90</x:v>
      </x:c>
      <x:c r="M732" s="42" t="n">
        <x:v>40</x:v>
      </x:c>
      <x:c r="N732" s="42" t="n">
        <x:v>60</x:v>
      </x:c>
      <x:c r="O732" s="42" t="n">
        <x:v>80</x:v>
      </x:c>
      <x:c r="P732" s="43" t="n">
        <x:f>IF(COUNT(J732:O732)=0,"",SUM(J732:O732))</x:f>
        <x:v>490</x:v>
      </x:c>
      <x:c r="Q732" s="23" t="str">
        <x:v>2 lignes de spawn</x:v>
      </x:c>
      <x:c r="R732" s="23" t="str">
        <x:v>Ils utilisent leur salive pour coller des feuilles à leurs épaules. On peut reconnaître leur troupe à la position de ces feuilles.</x:v>
      </x:c>
      <x:c r="S732" s="23" t="str">
        <x:v>Égalité de fréquence; prix provisoire basé sur le palier le plus élevé. Very Rare aligné sur le palier Super Rare (provisoire).</x:v>
      </x:c>
      <x:c r="T732" s="23" t="str">
        <x:v>https://pixelmonmod.com/wiki/Passimian</x:v>
      </x:c>
    </x:row>
    <x:row r="733" ht="54" customHeight="1">
      <x:c r="A733" s="27" t="n">
        <x:v>767</x:v>
      </x:c>
      <x:c r="B733" s="23" t="str">
        <x:v>Migalos</x:v>
      </x:c>
      <x:c r="C733" s="23" t="str">
        <x:v>Wimpod</x:v>
      </x:c>
      <x:c r="D733" s="23" t="str">
        <x:v>Insecte</x:v>
      </x:c>
      <x:c r="E733" s="23" t="str">
        <x:v>Eau</x:v>
      </x:c>
      <x:c r="F733" s="23" t="str">
        <x:v>Rare</x:v>
      </x:c>
      <x:c r="G733" s="45" t="n">
        <x:v>12000</x:v>
      </x:c>
      <x:c r="H733" s="45" t="n">
        <x:f>IF(G733="","",ROUNDUP(G733*3,0))</x:f>
        <x:v>36000</x:v>
      </x:c>
      <x:c r="I733" s="41" t="n">
        <x:v>1</x:v>
      </x:c>
      <x:c r="J733" s="42" t="n">
        <x:v>25</x:v>
      </x:c>
      <x:c r="K733" s="42" t="n">
        <x:v>35</x:v>
      </x:c>
      <x:c r="L733" s="42" t="n">
        <x:v>40</x:v>
      </x:c>
      <x:c r="M733" s="42" t="n">
        <x:v>20</x:v>
      </x:c>
      <x:c r="N733" s="42" t="n">
        <x:v>30</x:v>
      </x:c>
      <x:c r="O733" s="42" t="n">
        <x:v>80</x:v>
      </x:c>
      <x:c r="P733" s="43" t="n">
        <x:f>IF(COUNT(J733:O733)=0,"",SUM(J733:O733))</x:f>
        <x:v>230</x:v>
      </x:c>
      <x:c r="Q733" s="23" t="str">
        <x:v>3 lignes de spawn</x:v>
      </x:c>
      <x:c r="R733" s="23" t="str">
        <x:v>Il ramasse tout ce qu'il trouve au sol. Parfois, il tombe sur des pièces, ce qui attire les Cornèbre et les Miaouss.</x:v>
      </x:c>
      <x:c r="S733" s="23" t="str"/>
      <x:c r="T733" s="23" t="str">
        <x:v>https://pixelmonmod.com/wiki/Wimpod</x:v>
      </x:c>
    </x:row>
    <x:row r="734" ht="54" customHeight="1">
      <x:c r="A734" s="27" t="n">
        <x:v>768</x:v>
      </x:c>
      <x:c r="B734" s="23" t="str">
        <x:v>Sarmuraï</x:v>
      </x:c>
      <x:c r="C734" s="23" t="str">
        <x:v>Golisopod</x:v>
      </x:c>
      <x:c r="D734" s="23" t="str">
        <x:v>Insecte</x:v>
      </x:c>
      <x:c r="E734" s="23" t="str">
        <x:v>Eau</x:v>
      </x:c>
      <x:c r="F734" s="23" t="str">
        <x:v>Ultra Rare</x:v>
      </x:c>
      <x:c r="G734" s="45" t="n">
        <x:v>75000</x:v>
      </x:c>
      <x:c r="H734" s="45" t="n">
        <x:f>IF(G734="","",ROUNDUP(G734*3,0))</x:f>
        <x:v>225000</x:v>
      </x:c>
      <x:c r="I734" s="41" t="n">
        <x:v>1</x:v>
      </x:c>
      <x:c r="J734" s="42" t="n">
        <x:v>75</x:v>
      </x:c>
      <x:c r="K734" s="42" t="n">
        <x:v>125</x:v>
      </x:c>
      <x:c r="L734" s="42" t="n">
        <x:v>140</x:v>
      </x:c>
      <x:c r="M734" s="42" t="n">
        <x:v>60</x:v>
      </x:c>
      <x:c r="N734" s="42" t="n">
        <x:v>90</x:v>
      </x:c>
      <x:c r="O734" s="42" t="n">
        <x:v>40</x:v>
      </x:c>
      <x:c r="P734" s="43" t="n">
        <x:f>IF(COUNT(J734:O734)=0,"",SUM(J734:O734))</x:f>
        <x:v>530</x:v>
      </x:c>
      <x:c r="Q734" s="23" t="str">
        <x:v>2 lignes de spawn</x:v>
      </x:c>
      <x:c r="R734" s="23" t="str">
        <x:v>La carapace recouvrant son corps est aussi dure que le diamant. Ce Pokémon est prêt à tout pour gagner.</x:v>
      </x:c>
      <x:c r="S734" s="23" t="str"/>
      <x:c r="T734" s="23" t="str">
        <x:v>https://pixelmonmod.com/wiki/Golisopod</x:v>
      </x:c>
    </x:row>
    <x:row r="735" ht="54" customHeight="1">
      <x:c r="A735" s="27" t="n">
        <x:v>769</x:v>
      </x:c>
      <x:c r="B735" s="23" t="str">
        <x:v>Bacabouh</x:v>
      </x:c>
      <x:c r="C735" s="23" t="str">
        <x:v>Sandygast</x:v>
      </x:c>
      <x:c r="D735" s="23" t="str">
        <x:v>Spectre</x:v>
      </x:c>
      <x:c r="E735" s="23" t="str">
        <x:v>Sol</x:v>
      </x:c>
      <x:c r="F735" s="23" t="str">
        <x:v>Uncommon</x:v>
      </x:c>
      <x:c r="G735" s="45" t="n">
        <x:v>5000</x:v>
      </x:c>
      <x:c r="H735" s="45" t="n">
        <x:f>IF(G735="","",ROUNDUP(G735*3,0))</x:f>
        <x:v>15000</x:v>
      </x:c>
      <x:c r="I735" s="41" t="n">
        <x:v>1</x:v>
      </x:c>
      <x:c r="J735" s="42" t="n">
        <x:v>55</x:v>
      </x:c>
      <x:c r="K735" s="42" t="n">
        <x:v>55</x:v>
      </x:c>
      <x:c r="L735" s="42" t="n">
        <x:v>80</x:v>
      </x:c>
      <x:c r="M735" s="42" t="n">
        <x:v>70</x:v>
      </x:c>
      <x:c r="N735" s="42" t="n">
        <x:v>45</x:v>
      </x:c>
      <x:c r="O735" s="42" t="n">
        <x:v>15</x:v>
      </x:c>
      <x:c r="P735" s="43" t="n">
        <x:f>IF(COUNT(J735:O735)=0,"",SUM(J735:O735))</x:f>
        <x:v>320</x:v>
      </x:c>
      <x:c r="Q735" s="23" t="str">
        <x:v>1 lignes de spawn</x:v>
      </x:c>
      <x:c r="R735" s="23" t="str">
        <x:v>Il adore la pelle plantée sur sa tête. Bacabouh affrontera sérieusement tout enfant qui tenterait de la récupérer.</x:v>
      </x:c>
      <x:c r="S735" s="23" t="str"/>
      <x:c r="T735" s="23" t="str">
        <x:v>https://pixelmonmod.com/wiki/Sandygast</x:v>
      </x:c>
    </x:row>
    <x:row r="736" ht="54" customHeight="1">
      <x:c r="A736" s="27" t="n">
        <x:v>770</x:v>
      </x:c>
      <x:c r="B736" s="23" t="str">
        <x:v>Paléllozar</x:v>
      </x:c>
      <x:c r="C736" s="23" t="str">
        <x:v>Palossand</x:v>
      </x:c>
      <x:c r="D736" s="23" t="str">
        <x:v>Spectre</x:v>
      </x:c>
      <x:c r="E736" s="23" t="str">
        <x:v>Sol</x:v>
      </x:c>
      <x:c r="F736" s="23" t="str">
        <x:v>Ultra Rare</x:v>
      </x:c>
      <x:c r="G736" s="45" t="n">
        <x:v>75000</x:v>
      </x:c>
      <x:c r="H736" s="45" t="n">
        <x:f>IF(G736="","",ROUNDUP(G736*3,0))</x:f>
        <x:v>225000</x:v>
      </x:c>
      <x:c r="I736" s="41" t="n">
        <x:v>1</x:v>
      </x:c>
      <x:c r="J736" s="42" t="n">
        <x:v>85</x:v>
      </x:c>
      <x:c r="K736" s="42" t="n">
        <x:v>75</x:v>
      </x:c>
      <x:c r="L736" s="42" t="n">
        <x:v>110</x:v>
      </x:c>
      <x:c r="M736" s="42" t="n">
        <x:v>100</x:v>
      </x:c>
      <x:c r="N736" s="42" t="n">
        <x:v>75</x:v>
      </x:c>
      <x:c r="O736" s="42" t="n">
        <x:v>35</x:v>
      </x:c>
      <x:c r="P736" s="43" t="n">
        <x:f>IF(COUNT(J736:O736)=0,"",SUM(J736:O736))</x:f>
        <x:v>480</x:v>
      </x:c>
      <x:c r="Q736" s="23" t="str">
        <x:v>1 lignes de spawn</x:v>
      </x:c>
      <x:c r="R736" s="23" t="str">
        <x:v>Chaque grain de sable qui le compose possède sa propre volonté. Paléllozar dévore de petits Pokémon et aspire leur énergie vitale alors qu'ils sont encore en vie.</x:v>
      </x:c>
      <x:c r="S736" s="23" t="str"/>
      <x:c r="T736" s="23" t="str">
        <x:v>https://pixelmonmod.com/wiki/Palossand</x:v>
      </x:c>
    </x:row>
    <x:row r="737" ht="54" customHeight="1">
      <x:c r="A737" s="27" t="n">
        <x:v>771</x:v>
      </x:c>
      <x:c r="B737" s="23" t="str">
        <x:v>Concombaffe</x:v>
      </x:c>
      <x:c r="C737" s="23" t="str">
        <x:v>Pyukumuku</x:v>
      </x:c>
      <x:c r="D737" s="23" t="str">
        <x:v>Eau</x:v>
      </x:c>
      <x:c r="E737" s="23" t="str"/>
      <x:c r="F737" s="23" t="str">
        <x:v>Uncommon</x:v>
      </x:c>
      <x:c r="G737" s="45" t="n">
        <x:v>5000</x:v>
      </x:c>
      <x:c r="H737" s="45" t="n">
        <x:f>IF(G737="","",ROUNDUP(G737*3,0))</x:f>
        <x:v>15000</x:v>
      </x:c>
      <x:c r="I737" s="41" t="n">
        <x:v>0.875</x:v>
      </x:c>
      <x:c r="J737" s="42" t="n">
        <x:v>55</x:v>
      </x:c>
      <x:c r="K737" s="42" t="n">
        <x:v>60</x:v>
      </x:c>
      <x:c r="L737" s="42" t="n">
        <x:v>130</x:v>
      </x:c>
      <x:c r="M737" s="42" t="n">
        <x:v>30</x:v>
      </x:c>
      <x:c r="N737" s="42" t="n">
        <x:v>130</x:v>
      </x:c>
      <x:c r="O737" s="42" t="n">
        <x:v>5</x:v>
      </x:c>
      <x:c r="P737" s="43" t="n">
        <x:f>IF(COUNT(J737:O737)=0,"",SUM(J737:O737))</x:f>
        <x:v>410</x:v>
      </x:c>
      <x:c r="Q737" s="23" t="str">
        <x:v>8 lignes de spawn</x:v>
      </x:c>
      <x:c r="R737" s="23" t="str">
        <x:v>La tradition appelée « lancer de Concombaffe » vient de la coutume consistant à renvoyer les Concombaffe à la mer lorsqu'ils s'échouent sur le rivage.</x:v>
      </x:c>
      <x:c r="S737" s="23" t="str"/>
      <x:c r="T737" s="23" t="str">
        <x:v>https://pixelmonmod.com/wiki/Pyukumuku</x:v>
      </x:c>
    </x:row>
    <x:row r="738" ht="54" customHeight="1">
      <x:c r="A738" s="27" t="n">
        <x:v>774</x:v>
      </x:c>
      <x:c r="B738" s="23" t="str">
        <x:v>Météno</x:v>
      </x:c>
      <x:c r="C738" s="23" t="str">
        <x:v>Minior</x:v>
      </x:c>
      <x:c r="D738" s="23" t="str">
        <x:v>Roche</x:v>
      </x:c>
      <x:c r="E738" s="23" t="str">
        <x:v>Vol</x:v>
      </x:c>
      <x:c r="F738" s="23" t="str">
        <x:v>Rare</x:v>
      </x:c>
      <x:c r="G738" s="45" t="n">
        <x:v>12000</x:v>
      </x:c>
      <x:c r="H738" s="45" t="n">
        <x:f>IF(G738="","",ROUNDUP(G738*3,0))</x:f>
        <x:v>36000</x:v>
      </x:c>
      <x:c r="I738" s="41" t="n">
        <x:v>0.7140000000000001</x:v>
      </x:c>
      <x:c r="J738" s="42" t="n">
        <x:v>60</x:v>
      </x:c>
      <x:c r="K738" s="42" t="n">
        <x:v>60</x:v>
      </x:c>
      <x:c r="L738" s="42" t="n">
        <x:v>100</x:v>
      </x:c>
      <x:c r="M738" s="42" t="n">
        <x:v>60</x:v>
      </x:c>
      <x:c r="N738" s="42" t="n">
        <x:v>100</x:v>
      </x:c>
      <x:c r="O738" s="42" t="n">
        <x:v>60</x:v>
      </x:c>
      <x:c r="P738" s="43" t="n">
        <x:f>IF(COUNT(J738:O738)=0,"",SUM(J738:O738))</x:f>
        <x:v>440</x:v>
      </x:c>
      <x:c r="Q738" s="23" t="str">
        <x:v>7 lignes de spawn</x:v>
      </x:c>
      <x:c r="R738" s="23" t="str">
        <x:v>Il vit dans la couche d'ozone, où il sert de nourriture à des Pokémon plus forts. Quand il tente de s'enfuir, il tombe au sol.</x:v>
      </x:c>
      <x:c r="S738" s="23" t="str"/>
      <x:c r="T738" s="23" t="str">
        <x:v>https://pixelmonmod.com/wiki/Minior</x:v>
      </x:c>
    </x:row>
    <x:row r="739" ht="54" customHeight="1">
      <x:c r="A739" s="27" t="n">
        <x:v>775</x:v>
      </x:c>
      <x:c r="B739" s="23" t="str">
        <x:v>Dodoala</x:v>
      </x:c>
      <x:c r="C739" s="23" t="str">
        <x:v>Komala</x:v>
      </x:c>
      <x:c r="D739" s="23" t="str">
        <x:v>Normal</x:v>
      </x:c>
      <x:c r="E739" s="23" t="str"/>
      <x:c r="F739" s="23" t="str">
        <x:v>Uncommon / Rare</x:v>
      </x:c>
      <x:c r="G739" s="45" t="n">
        <x:v>12000</x:v>
      </x:c>
      <x:c r="H739" s="45" t="n">
        <x:f>IF(G739="","",ROUNDUP(G739*3,0))</x:f>
        <x:v>36000</x:v>
      </x:c>
      <x:c r="I739" s="41" t="n">
        <x:v>0.5</x:v>
      </x:c>
      <x:c r="J739" s="42" t="n">
        <x:v>65</x:v>
      </x:c>
      <x:c r="K739" s="42" t="n">
        <x:v>115</x:v>
      </x:c>
      <x:c r="L739" s="42" t="n">
        <x:v>65</x:v>
      </x:c>
      <x:c r="M739" s="42" t="n">
        <x:v>75</x:v>
      </x:c>
      <x:c r="N739" s="42" t="n">
        <x:v>95</x:v>
      </x:c>
      <x:c r="O739" s="42" t="n">
        <x:v>65</x:v>
      </x:c>
      <x:c r="P739" s="43" t="n">
        <x:f>IF(COUNT(J739:O739)=0,"",SUM(J739:O739))</x:f>
        <x:v>480</x:v>
      </x:c>
      <x:c r="Q739" s="23" t="str">
        <x:v>2 lignes de spawn</x:v>
      </x:c>
      <x:c r="R739" s="23" t="str">
        <x:v>Il dort depuis sa naissance. Lorsqu'il tombe dans un sommeil profond, il cesse complètement de bouger.</x:v>
      </x:c>
      <x:c r="S739" s="23" t="str">
        <x:v>Égalité de fréquence; prix provisoire basé sur le palier le plus élevé.</x:v>
      </x:c>
      <x:c r="T739" s="23" t="str">
        <x:v>https://pixelmonmod.com/wiki/Komala</x:v>
      </x:c>
    </x:row>
    <x:row r="740" ht="54" customHeight="1">
      <x:c r="A740" s="27" t="n">
        <x:v>776</x:v>
      </x:c>
      <x:c r="B740" s="23" t="str">
        <x:v>Boumata</x:v>
      </x:c>
      <x:c r="C740" s="23" t="str">
        <x:v>Turtonator</x:v>
      </x:c>
      <x:c r="D740" s="23" t="str">
        <x:v>Feu</x:v>
      </x:c>
      <x:c r="E740" s="23" t="str">
        <x:v>Dragon</x:v>
      </x:c>
      <x:c r="F740" s="23" t="str">
        <x:v>Ultra Rare</x:v>
      </x:c>
      <x:c r="G740" s="45" t="n">
        <x:v>75000</x:v>
      </x:c>
      <x:c r="H740" s="45" t="n">
        <x:f>IF(G740="","",ROUNDUP(G740*3,0))</x:f>
        <x:v>225000</x:v>
      </x:c>
      <x:c r="I740" s="41" t="n">
        <x:v>1</x:v>
      </x:c>
      <x:c r="J740" s="42" t="n">
        <x:v>60</x:v>
      </x:c>
      <x:c r="K740" s="42" t="n">
        <x:v>78</x:v>
      </x:c>
      <x:c r="L740" s="42" t="n">
        <x:v>135</x:v>
      </x:c>
      <x:c r="M740" s="42" t="n">
        <x:v>91</x:v>
      </x:c>
      <x:c r="N740" s="42" t="n">
        <x:v>85</x:v>
      </x:c>
      <x:c r="O740" s="42" t="n">
        <x:v>36</x:v>
      </x:c>
      <x:c r="P740" s="43" t="n">
        <x:f>IF(COUNT(J740:O740)=0,"",SUM(J740:O740))</x:f>
        <x:v>485</x:v>
      </x:c>
      <x:c r="Q740" s="23" t="str">
        <x:v>10 lignes de spawn</x:v>
      </x:c>
      <x:c r="R740" s="23" t="str">
        <x:v>Il vit dans les volcans et mange du soufre et d'autres minéraux. Les matériaux de son alimentation servent de base à sa carapace explosive.</x:v>
      </x:c>
      <x:c r="S740" s="23" t="str"/>
      <x:c r="T740" s="23" t="str">
        <x:v>https://pixelmonmod.com/wiki/Turtonator</x:v>
      </x:c>
    </x:row>
    <x:row r="741" ht="54" customHeight="1">
      <x:c r="A741" s="27" t="n">
        <x:v>777</x:v>
      </x:c>
      <x:c r="B741" s="23" t="str">
        <x:v>Togedemaru</x:v>
      </x:c>
      <x:c r="C741" s="23" t="str">
        <x:v>Togedemaru</x:v>
      </x:c>
      <x:c r="D741" s="23" t="str">
        <x:v>Électrik</x:v>
      </x:c>
      <x:c r="E741" s="23" t="str">
        <x:v>Acier</x:v>
      </x:c>
      <x:c r="F741" s="23" t="str">
        <x:v>Uncommon</x:v>
      </x:c>
      <x:c r="G741" s="45" t="n">
        <x:v>5000</x:v>
      </x:c>
      <x:c r="H741" s="45" t="n">
        <x:f>IF(G741="","",ROUNDUP(G741*3,0))</x:f>
        <x:v>15000</x:v>
      </x:c>
      <x:c r="I741" s="41" t="n">
        <x:v>1</x:v>
      </x:c>
      <x:c r="J741" s="42" t="n">
        <x:v>65</x:v>
      </x:c>
      <x:c r="K741" s="42" t="n">
        <x:v>98</x:v>
      </x:c>
      <x:c r="L741" s="42" t="n">
        <x:v>63</x:v>
      </x:c>
      <x:c r="M741" s="42" t="n">
        <x:v>40</x:v>
      </x:c>
      <x:c r="N741" s="42" t="n">
        <x:v>73</x:v>
      </x:c>
      <x:c r="O741" s="42" t="n">
        <x:v>96</x:v>
      </x:c>
      <x:c r="P741" s="43" t="n">
        <x:f>IF(COUNT(J741:O741)=0,"",SUM(J741:O741))</x:f>
        <x:v>435</x:v>
      </x:c>
      <x:c r="Q741" s="23" t="str">
        <x:v>4 lignes de spawn</x:v>
      </x:c>
      <x:c r="R741" s="23" t="str">
        <x:v>Lorsqu'il est surpris ou agité, les quatorze piquants de son dos se dressent malgré lui.</x:v>
      </x:c>
      <x:c r="S741" s="23" t="str"/>
      <x:c r="T741" s="23" t="str">
        <x:v>https://pixelmonmod.com/wiki/Togedemaru</x:v>
      </x:c>
    </x:row>
    <x:row r="742" ht="54" customHeight="1">
      <x:c r="A742" s="27" t="n">
        <x:v>778</x:v>
      </x:c>
      <x:c r="B742" s="23" t="str">
        <x:v>Mimiqui</x:v>
      </x:c>
      <x:c r="C742" s="23" t="str">
        <x:v>Mimikyu</x:v>
      </x:c>
      <x:c r="D742" s="23" t="str">
        <x:v>Spectre</x:v>
      </x:c>
      <x:c r="E742" s="23" t="str">
        <x:v>Fée</x:v>
      </x:c>
      <x:c r="F742" s="23" t="str">
        <x:v>Rare</x:v>
      </x:c>
      <x:c r="G742" s="45" t="n">
        <x:v>12000</x:v>
      </x:c>
      <x:c r="H742" s="45" t="n">
        <x:f>IF(G742="","",ROUNDUP(G742*3,0))</x:f>
        <x:v>36000</x:v>
      </x:c>
      <x:c r="I742" s="41" t="n">
        <x:v>0.8</x:v>
      </x:c>
      <x:c r="J742" s="42" t="n">
        <x:v>55</x:v>
      </x:c>
      <x:c r="K742" s="42" t="n">
        <x:v>90</x:v>
      </x:c>
      <x:c r="L742" s="42" t="n">
        <x:v>80</x:v>
      </x:c>
      <x:c r="M742" s="42" t="n">
        <x:v>50</x:v>
      </x:c>
      <x:c r="N742" s="42" t="n">
        <x:v>105</x:v>
      </x:c>
      <x:c r="O742" s="42" t="n">
        <x:v>96</x:v>
      </x:c>
      <x:c r="P742" s="43" t="n">
        <x:f>IF(COUNT(J742:O742)=0,"",SUM(J742:O742))</x:f>
        <x:v>476</x:v>
      </x:c>
      <x:c r="Q742" s="23" t="str">
        <x:v>5 lignes de spawn</x:v>
      </x:c>
      <x:c r="R742" s="23" t="str">
        <x:v>Bien qu'il soit un Pokémon calme et solitaire, si vous tentez de regarder ce qui se cache sous son déguisement, il s'agite et se montre violemment agressif.</x:v>
      </x:c>
      <x:c r="S742" s="23" t="str"/>
      <x:c r="T742" s="23" t="str">
        <x:v>https://pixelmonmod.com/wiki/Mimikyu</x:v>
      </x:c>
    </x:row>
    <x:row r="743" ht="54" customHeight="1">
      <x:c r="A743" s="27" t="n">
        <x:v>779</x:v>
      </x:c>
      <x:c r="B743" s="23" t="str">
        <x:v>Denticrisse</x:v>
      </x:c>
      <x:c r="C743" s="23" t="str">
        <x:v>Bruxish</x:v>
      </x:c>
      <x:c r="D743" s="23" t="str">
        <x:v>Eau</x:v>
      </x:c>
      <x:c r="E743" s="23" t="str">
        <x:v>Psy</x:v>
      </x:c>
      <x:c r="F743" s="23" t="str">
        <x:v>Ultra Rare</x:v>
      </x:c>
      <x:c r="G743" s="45" t="n">
        <x:v>75000</x:v>
      </x:c>
      <x:c r="H743" s="45" t="n">
        <x:f>IF(G743="","",ROUNDUP(G743*3,0))</x:f>
        <x:v>225000</x:v>
      </x:c>
      <x:c r="I743" s="41" t="n">
        <x:v>0.556</x:v>
      </x:c>
      <x:c r="J743" s="42" t="n">
        <x:v>68</x:v>
      </x:c>
      <x:c r="K743" s="42" t="n">
        <x:v>105</x:v>
      </x:c>
      <x:c r="L743" s="42" t="n">
        <x:v>70</x:v>
      </x:c>
      <x:c r="M743" s="42" t="n">
        <x:v>70</x:v>
      </x:c>
      <x:c r="N743" s="42" t="n">
        <x:v>70</x:v>
      </x:c>
      <x:c r="O743" s="42" t="n">
        <x:v>92</x:v>
      </x:c>
      <x:c r="P743" s="43" t="n">
        <x:f>IF(COUNT(J743:O743)=0,"",SUM(J743:O743))</x:f>
        <x:v>475</x:v>
      </x:c>
      <x:c r="Q743" s="23" t="str">
        <x:v>9 lignes de spawn</x:v>
      </x:c>
      <x:c r="R743" s="23" t="str">
        <x:v>Il s'enfouit sous le sable et émet une énergie psychique depuis la protubérance sur sa tête. Il guette sa proie en surveillant les environs.</x:v>
      </x:c>
      <x:c r="S743" s="23" t="str"/>
      <x:c r="T743" s="23" t="str">
        <x:v>https://pixelmonmod.com/wiki/Bruxish</x:v>
      </x:c>
    </x:row>
    <x:row r="744" ht="54" customHeight="1">
      <x:c r="A744" s="27" t="n">
        <x:v>780</x:v>
      </x:c>
      <x:c r="B744" s="23" t="str">
        <x:v>Draïeul</x:v>
      </x:c>
      <x:c r="C744" s="23" t="str">
        <x:v>Drampa</x:v>
      </x:c>
      <x:c r="D744" s="23" t="str">
        <x:v>Normal</x:v>
      </x:c>
      <x:c r="E744" s="23" t="str">
        <x:v>Dragon</x:v>
      </x:c>
      <x:c r="F744" s="23" t="str">
        <x:v>Ultra Rare</x:v>
      </x:c>
      <x:c r="G744" s="45" t="n">
        <x:v>75000</x:v>
      </x:c>
      <x:c r="H744" s="45" t="n">
        <x:f>IF(G744="","",ROUNDUP(G744*3,0))</x:f>
        <x:v>225000</x:v>
      </x:c>
      <x:c r="I744" s="41" t="n">
        <x:v>1</x:v>
      </x:c>
      <x:c r="J744" s="42" t="n">
        <x:v>78</x:v>
      </x:c>
      <x:c r="K744" s="42" t="n">
        <x:v>60</x:v>
      </x:c>
      <x:c r="L744" s="42" t="n">
        <x:v>85</x:v>
      </x:c>
      <x:c r="M744" s="42" t="n">
        <x:v>135</x:v>
      </x:c>
      <x:c r="N744" s="42" t="n">
        <x:v>91</x:v>
      </x:c>
      <x:c r="O744" s="42" t="n">
        <x:v>36</x:v>
      </x:c>
      <x:c r="P744" s="43" t="n">
        <x:f>IF(COUNT(J744:O744)=0,"",SUM(J744:O744))</x:f>
        <x:v>485</x:v>
      </x:c>
      <x:c r="Q744" s="23" t="str">
        <x:v>4 lignes de spawn</x:v>
      </x:c>
      <x:c r="R744" s="23" t="str">
        <x:v>Si un enfant ami avec lui se fait intimider, Draïeul retrouve la maison du harceleur et la réduit en cendres.</x:v>
      </x:c>
      <x:c r="S744" s="23" t="str"/>
      <x:c r="T744" s="23" t="str">
        <x:v>https://pixelmonmod.com/wiki/Drampa</x:v>
      </x:c>
    </x:row>
    <x:row r="745" ht="54" customHeight="1">
      <x:c r="A745" s="27" t="n">
        <x:v>781</x:v>
      </x:c>
      <x:c r="B745" s="23" t="str">
        <x:v>Dhelmise</x:v>
      </x:c>
      <x:c r="C745" s="23" t="str">
        <x:v>Dhelmise</x:v>
      </x:c>
      <x:c r="D745" s="23" t="str">
        <x:v>Spectre</x:v>
      </x:c>
      <x:c r="E745" s="23" t="str">
        <x:v>Plante</x:v>
      </x:c>
      <x:c r="F745" s="23" t="str">
        <x:v>Rare</x:v>
      </x:c>
      <x:c r="G745" s="45" t="n">
        <x:v>12000</x:v>
      </x:c>
      <x:c r="H745" s="45" t="n">
        <x:f>IF(G745="","",ROUNDUP(G745*3,0))</x:f>
        <x:v>36000</x:v>
      </x:c>
      <x:c r="I745" s="41" t="n">
        <x:v>0.667</x:v>
      </x:c>
      <x:c r="J745" s="42" t="n">
        <x:v>70</x:v>
      </x:c>
      <x:c r="K745" s="42" t="n">
        <x:v>131</x:v>
      </x:c>
      <x:c r="L745" s="42" t="n">
        <x:v>100</x:v>
      </x:c>
      <x:c r="M745" s="42" t="n">
        <x:v>86</x:v>
      </x:c>
      <x:c r="N745" s="42" t="n">
        <x:v>90</x:v>
      </x:c>
      <x:c r="O745" s="42" t="n">
        <x:v>40</x:v>
      </x:c>
      <x:c r="P745" s="43" t="n">
        <x:f>IF(COUNT(J745:O745)=0,"",SUM(J745:O745))</x:f>
        <x:v>517</x:v>
      </x:c>
      <x:c r="Q745" s="23" t="str">
        <x:v>6 lignes de spawn</x:v>
      </x:c>
      <x:c r="R745" s="23" t="str">
        <x:v>Il enveloppe ses proies dans des algues vertes et leur aspire leur vitalité. Il ne s'attaque qu'à de grandes proies comme Wailord.</x:v>
      </x:c>
      <x:c r="S745" s="23" t="str"/>
      <x:c r="T745" s="23" t="str">
        <x:v>https://pixelmonmod.com/wiki/Dhelmise</x:v>
      </x:c>
    </x:row>
    <x:row r="746" ht="54" customHeight="1">
      <x:c r="A746" s="27" t="n">
        <x:v>782</x:v>
      </x:c>
      <x:c r="B746" s="23" t="str">
        <x:v>Bébécaille</x:v>
      </x:c>
      <x:c r="C746" s="23" t="str">
        <x:v>Jangmo-o</x:v>
      </x:c>
      <x:c r="D746" s="23" t="str">
        <x:v>Dragon</x:v>
      </x:c>
      <x:c r="E746" s="23" t="str"/>
      <x:c r="F746" s="23" t="str">
        <x:v>Rare</x:v>
      </x:c>
      <x:c r="G746" s="45" t="n">
        <x:v>12000</x:v>
      </x:c>
      <x:c r="H746" s="45" t="n">
        <x:f>IF(G746="","",ROUNDUP(G746*3,0))</x:f>
        <x:v>36000</x:v>
      </x:c>
      <x:c r="I746" s="41" t="n">
        <x:v>1</x:v>
      </x:c>
      <x:c r="J746" s="42" t="n">
        <x:v>45</x:v>
      </x:c>
      <x:c r="K746" s="42" t="n">
        <x:v>55</x:v>
      </x:c>
      <x:c r="L746" s="42" t="n">
        <x:v>65</x:v>
      </x:c>
      <x:c r="M746" s="42" t="n">
        <x:v>45</x:v>
      </x:c>
      <x:c r="N746" s="42" t="n">
        <x:v>45</x:v>
      </x:c>
      <x:c r="O746" s="42" t="n">
        <x:v>45</x:v>
      </x:c>
      <x:c r="P746" s="43" t="n">
        <x:f>IF(COUNT(J746:O746)=0,"",SUM(J746:O746))</x:f>
        <x:v>300</x:v>
      </x:c>
      <x:c r="Q746" s="23" t="str">
        <x:v>1 lignes de spawn</x:v>
      </x:c>
      <x:c r="R746" s="23" t="str">
        <x:v>Il frappe les écailles de sa tête contre des rochers ou contre le sol pour effrayer ses adversaires. Il peut aussi communiquer avec ses amis grâce à ces bruits.</x:v>
      </x:c>
      <x:c r="S746" s="23" t="str"/>
      <x:c r="T746" s="23" t="str">
        <x:v>https://pixelmonmod.com/wiki/Jangmo-o</x:v>
      </x:c>
    </x:row>
    <x:row r="747" ht="54" customHeight="1">
      <x:c r="A747" s="27" t="n">
        <x:v>783</x:v>
      </x:c>
      <x:c r="B747" s="23" t="str">
        <x:v>Écaïd</x:v>
      </x:c>
      <x:c r="C747" s="23" t="str">
        <x:v>Hakamo-o</x:v>
      </x:c>
      <x:c r="D747" s="23" t="str">
        <x:v>Dragon</x:v>
      </x:c>
      <x:c r="E747" s="23" t="str">
        <x:v>Combat</x:v>
      </x:c>
      <x:c r="F747" s="23" t="str">
        <x:v>Ultra Rare</x:v>
      </x:c>
      <x:c r="G747" s="45" t="n">
        <x:v>75000</x:v>
      </x:c>
      <x:c r="H747" s="45" t="n">
        <x:f>IF(G747="","",ROUNDUP(G747*3,0))</x:f>
        <x:v>225000</x:v>
      </x:c>
      <x:c r="I747" s="41" t="n">
        <x:v>1</x:v>
      </x:c>
      <x:c r="J747" s="42" t="n">
        <x:v>55</x:v>
      </x:c>
      <x:c r="K747" s="42" t="n">
        <x:v>75</x:v>
      </x:c>
      <x:c r="L747" s="42" t="n">
        <x:v>90</x:v>
      </x:c>
      <x:c r="M747" s="42" t="n">
        <x:v>65</x:v>
      </x:c>
      <x:c r="N747" s="42" t="n">
        <x:v>70</x:v>
      </x:c>
      <x:c r="O747" s="42" t="n">
        <x:v>65</x:v>
      </x:c>
      <x:c r="P747" s="43" t="n">
        <x:f>IF(COUNT(J747:O747)=0,"",SUM(J747:O747))</x:f>
        <x:v>420</x:v>
      </x:c>
      <x:c r="Q747" s="23" t="str">
        <x:v>1 lignes de spawn</x:v>
      </x:c>
      <x:c r="R747" s="23" t="str">
        <x:v>Il produit des sons en entrechoquant ses écailles. Lorsque le rythme atteint son apogée, Écaïd attaque.</x:v>
      </x:c>
      <x:c r="S747" s="23" t="str"/>
      <x:c r="T747" s="23" t="str">
        <x:v>https://pixelmonmod.com/wiki/Hakamo-o</x:v>
      </x:c>
    </x:row>
    <x:row r="748" ht="54" customHeight="1">
      <x:c r="A748" s="27" t="n">
        <x:v>784</x:v>
      </x:c>
      <x:c r="B748" s="23" t="str">
        <x:v>Ékaïser</x:v>
      </x:c>
      <x:c r="C748" s="23" t="str">
        <x:v>Kommo-o</x:v>
      </x:c>
      <x:c r="D748" s="23" t="str">
        <x:v>Dragon</x:v>
      </x:c>
      <x:c r="E748" s="23" t="str">
        <x:v>Combat</x:v>
      </x:c>
      <x:c r="F748" s="23" t="str">
        <x:v>Ultra Rare</x:v>
      </x:c>
      <x:c r="G748" s="45" t="n">
        <x:v>75000</x:v>
      </x:c>
      <x:c r="H748" s="45" t="n">
        <x:f>IF(G748="","",ROUNDUP(G748*3,0))</x:f>
        <x:v>225000</x:v>
      </x:c>
      <x:c r="I748" s="41" t="n">
        <x:v>1</x:v>
      </x:c>
      <x:c r="J748" s="42" t="n">
        <x:v>75</x:v>
      </x:c>
      <x:c r="K748" s="42" t="n">
        <x:v>110</x:v>
      </x:c>
      <x:c r="L748" s="42" t="n">
        <x:v>125</x:v>
      </x:c>
      <x:c r="M748" s="42" t="n">
        <x:v>100</x:v>
      </x:c>
      <x:c r="N748" s="42" t="n">
        <x:v>105</x:v>
      </x:c>
      <x:c r="O748" s="42" t="n">
        <x:v>85</x:v>
      </x:c>
      <x:c r="P748" s="43" t="n">
        <x:f>IF(COUNT(J748:O748)=0,"",SUM(J748:O748))</x:f>
        <x:v>600</x:v>
      </x:c>
      <x:c r="Q748" s="23" t="str">
        <x:v>1 lignes de spawn</x:v>
      </x:c>
      <x:c r="R748" s="23" t="str">
        <x:v>Lorsqu'il pousse un hurlement après avoir terrassé sa proie, on peut entendre tout autour les sons métalliques de ses camarades qui célèbrent.</x:v>
      </x:c>
      <x:c r="S748" s="23" t="str"/>
      <x:c r="T748" s="23" t="str">
        <x:v>https://pixelmonmod.com/wiki/Kommo-o</x:v>
      </x:c>
    </x:row>
    <x:row r="749" ht="54" customHeight="1">
      <x:c r="A749" s="27" t="n">
        <x:v>793</x:v>
      </x:c>
      <x:c r="B749" s="23" t="str">
        <x:v>Zéroïd</x:v>
      </x:c>
      <x:c r="C749" s="23" t="str">
        <x:v>Nihilego</x:v>
      </x:c>
      <x:c r="D749" s="23" t="str">
        <x:v>Roche</x:v>
      </x:c>
      <x:c r="E749" s="23" t="str">
        <x:v>Poison</x:v>
      </x:c>
      <x:c r="F749" s="23" t="str">
        <x:v>Non classé</x:v>
      </x:c>
      <x:c r="G749" s="45"/>
      <x:c r="H749" s="45" t="str">
        <x:f>IF(G749="","",ROUNDUP(G749*3,0))</x:f>
      </x:c>
      <x:c r="I749" s="41"/>
      <x:c r="J749" s="42" t="n">
        <x:v>109</x:v>
      </x:c>
      <x:c r="K749" s="42" t="n">
        <x:v>53</x:v>
      </x:c>
      <x:c r="L749" s="42" t="n">
        <x:v>47</x:v>
      </x:c>
      <x:c r="M749" s="42" t="n">
        <x:v>127</x:v>
      </x:c>
      <x:c r="N749" s="42" t="n">
        <x:v>131</x:v>
      </x:c>
      <x:c r="O749" s="42" t="n">
        <x:v>103</x:v>
      </x:c>
      <x:c r="P749" s="43" t="n">
        <x:f>IF(COUNT(J749:O749)=0,"",SUM(J749:O749))</x:f>
        <x:v>570</x:v>
      </x:c>
      <x:c r="Q749" s="23" t="str">
        <x:v>Aucune ligne classée</x:v>
      </x:c>
      <x:c r="R749" s="23" t="str">
        <x:v>Une forme de vie venue d'un autre monde, surnommée une Ultra-Chimère, et réputée produire une neurotoxine très puissante.</x:v>
      </x:c>
      <x:c r="S749" s="23" t="str">
        <x:v>Ultra-Chimère : vente et prix à valider.</x:v>
      </x:c>
      <x:c r="T749" s="23" t="str">
        <x:v>https://pixelmonmod.com/wiki/Nihilego</x:v>
      </x:c>
    </x:row>
    <x:row r="750" ht="54" customHeight="1">
      <x:c r="A750" s="27" t="n">
        <x:v>794</x:v>
      </x:c>
      <x:c r="B750" s="23" t="str">
        <x:v>Mouscoto</x:v>
      </x:c>
      <x:c r="C750" s="23" t="str">
        <x:v>Buzzwole</x:v>
      </x:c>
      <x:c r="D750" s="23" t="str">
        <x:v>Insecte</x:v>
      </x:c>
      <x:c r="E750" s="23" t="str">
        <x:v>Combat</x:v>
      </x:c>
      <x:c r="F750" s="23" t="str">
        <x:v>Non classé</x:v>
      </x:c>
      <x:c r="G750" s="45"/>
      <x:c r="H750" s="45" t="str">
        <x:f>IF(G750="","",ROUNDUP(G750*3,0))</x:f>
      </x:c>
      <x:c r="I750" s="41"/>
      <x:c r="J750" s="42" t="n">
        <x:v>107</x:v>
      </x:c>
      <x:c r="K750" s="42" t="n">
        <x:v>139</x:v>
      </x:c>
      <x:c r="L750" s="42" t="n">
        <x:v>139</x:v>
      </x:c>
      <x:c r="M750" s="42" t="n">
        <x:v>53</x:v>
      </x:c>
      <x:c r="N750" s="42" t="n">
        <x:v>53</x:v>
      </x:c>
      <x:c r="O750" s="42" t="n">
        <x:v>79</x:v>
      </x:c>
      <x:c r="P750" s="43" t="n">
        <x:f>IF(COUNT(J750:O750)=0,"",SUM(J750:O750))</x:f>
        <x:v>570</x:v>
      </x:c>
      <x:c r="Q750" s="23" t="str">
        <x:v>Aucune ligne classée</x:v>
      </x:c>
      <x:c r="R750" s="23" t="str">
        <x:v>Mouscoto passe son temps à exhiber ses muscles anormalement gonflés. C'est un type d'Ultra-Chimère.</x:v>
      </x:c>
      <x:c r="S750" s="23" t="str">
        <x:v>Ultra-Chimère : vente et prix à valider.</x:v>
      </x:c>
      <x:c r="T750" s="23" t="str">
        <x:v>https://pixelmonmod.com/wiki/Buzzwole</x:v>
      </x:c>
    </x:row>
    <x:row r="751" ht="54" customHeight="1">
      <x:c r="A751" s="27" t="n">
        <x:v>795</x:v>
      </x:c>
      <x:c r="B751" s="23" t="str">
        <x:v>Cancrelove</x:v>
      </x:c>
      <x:c r="C751" s="23" t="str">
        <x:v>Pheromosa</x:v>
      </x:c>
      <x:c r="D751" s="23" t="str">
        <x:v>Insecte</x:v>
      </x:c>
      <x:c r="E751" s="23" t="str">
        <x:v>Combat</x:v>
      </x:c>
      <x:c r="F751" s="23" t="str">
        <x:v>Non classé</x:v>
      </x:c>
      <x:c r="G751" s="45"/>
      <x:c r="H751" s="45" t="str">
        <x:f>IF(G751="","",ROUNDUP(G751*3,0))</x:f>
      </x:c>
      <x:c r="I751" s="41"/>
      <x:c r="J751" s="42" t="n">
        <x:v>71</x:v>
      </x:c>
      <x:c r="K751" s="42" t="n">
        <x:v>137</x:v>
      </x:c>
      <x:c r="L751" s="42" t="n">
        <x:v>37</x:v>
      </x:c>
      <x:c r="M751" s="42" t="n">
        <x:v>137</x:v>
      </x:c>
      <x:c r="N751" s="42" t="n">
        <x:v>37</x:v>
      </x:c>
      <x:c r="O751" s="42" t="n">
        <x:v>151</x:v>
      </x:c>
      <x:c r="P751" s="43" t="n">
        <x:f>IF(COUNT(J751:O751)=0,"",SUM(J751:O751))</x:f>
        <x:v>570</x:v>
      </x:c>
      <x:c r="Q751" s="23" t="str">
        <x:v>Aucune ligne classée</x:v>
      </x:c>
      <x:c r="R751" s="23" t="str">
        <x:v>Un être venu d'un autre monde. Son corps est fin et souple, mais il possède une grande puissance.</x:v>
      </x:c>
      <x:c r="S751" s="23" t="str">
        <x:v>Ultra-Chimère : vente et prix à valider.</x:v>
      </x:c>
      <x:c r="T751" s="23" t="str">
        <x:v>https://pixelmonmod.com/wiki/Pheromosa</x:v>
      </x:c>
    </x:row>
    <x:row r="752" ht="54" customHeight="1">
      <x:c r="A752" s="27" t="n">
        <x:v>796</x:v>
      </x:c>
      <x:c r="B752" s="23" t="str">
        <x:v>Câblifère</x:v>
      </x:c>
      <x:c r="C752" s="23" t="str">
        <x:v>Xurkitree</x:v>
      </x:c>
      <x:c r="D752" s="23" t="str">
        <x:v>Électrik</x:v>
      </x:c>
      <x:c r="E752" s="23" t="str"/>
      <x:c r="F752" s="23" t="str">
        <x:v>Non classé</x:v>
      </x:c>
      <x:c r="G752" s="45"/>
      <x:c r="H752" s="45" t="str">
        <x:f>IF(G752="","",ROUNDUP(G752*3,0))</x:f>
      </x:c>
      <x:c r="I752" s="41"/>
      <x:c r="J752" s="42" t="n">
        <x:v>83</x:v>
      </x:c>
      <x:c r="K752" s="42" t="n">
        <x:v>89</x:v>
      </x:c>
      <x:c r="L752" s="42" t="n">
        <x:v>71</x:v>
      </x:c>
      <x:c r="M752" s="42" t="n">
        <x:v>173</x:v>
      </x:c>
      <x:c r="N752" s="42" t="n">
        <x:v>71</x:v>
      </x:c>
      <x:c r="O752" s="42" t="n">
        <x:v>83</x:v>
      </x:c>
      <x:c r="P752" s="43" t="n">
        <x:f>IF(COUNT(J752:O752)=0,"",SUM(J752:O752))</x:f>
        <x:v>570</x:v>
      </x:c>
      <x:c r="Q752" s="23" t="str">
        <x:v>Aucune ligne classée</x:v>
      </x:c>
      <x:c r="R752" s="23" t="str">
        <x:v>On les appelle les Ultra-Chimères. Certains restent immobiles comme des arbres, les bras et les jambes plantés dans le sol.</x:v>
      </x:c>
      <x:c r="S752" s="23" t="str">
        <x:v>Ultra-Chimère : vente et prix à valider.</x:v>
      </x:c>
      <x:c r="T752" s="23" t="str">
        <x:v>https://pixelmonmod.com/wiki/Xurkitree</x:v>
      </x:c>
    </x:row>
    <x:row r="753" ht="54" customHeight="1">
      <x:c r="A753" s="27" t="n">
        <x:v>797</x:v>
      </x:c>
      <x:c r="B753" s="23" t="str">
        <x:v>Bamboiselle</x:v>
      </x:c>
      <x:c r="C753" s="23" t="str">
        <x:v>Celesteela</x:v>
      </x:c>
      <x:c r="D753" s="23" t="str">
        <x:v>Acier</x:v>
      </x:c>
      <x:c r="E753" s="23" t="str">
        <x:v>Vol</x:v>
      </x:c>
      <x:c r="F753" s="23" t="str">
        <x:v>Non classé</x:v>
      </x:c>
      <x:c r="G753" s="45"/>
      <x:c r="H753" s="45" t="str">
        <x:f>IF(G753="","",ROUNDUP(G753*3,0))</x:f>
      </x:c>
      <x:c r="I753" s="41"/>
      <x:c r="J753" s="42" t="n">
        <x:v>97</x:v>
      </x:c>
      <x:c r="K753" s="42" t="n">
        <x:v>101</x:v>
      </x:c>
      <x:c r="L753" s="42" t="n">
        <x:v>103</x:v>
      </x:c>
      <x:c r="M753" s="42" t="n">
        <x:v>107</x:v>
      </x:c>
      <x:c r="N753" s="42" t="n">
        <x:v>101</x:v>
      </x:c>
      <x:c r="O753" s="42" t="n">
        <x:v>61</x:v>
      </x:c>
      <x:c r="P753" s="43" t="n">
        <x:f>IF(COUNT(J753:O753)=0,"",SUM(J753:O753))</x:f>
        <x:v>570</x:v>
      </x:c>
      <x:c r="Q753" s="23" t="str">
        <x:v>Aucune ligne classée</x:v>
      </x:c>
      <x:c r="R753" s="23" t="str">
        <x:v>L'une des dangereuses Ultra-Chimères, d'intenses émissions d'énergie peuvent être détectées dans ses immenses bras.</x:v>
      </x:c>
      <x:c r="S753" s="23" t="str">
        <x:v>Ultra-Chimère : vente et prix à valider.</x:v>
      </x:c>
      <x:c r="T753" s="23" t="str">
        <x:v>https://pixelmonmod.com/wiki/Celesteela</x:v>
      </x:c>
    </x:row>
    <x:row r="754" ht="54" customHeight="1">
      <x:c r="A754" s="27" t="n">
        <x:v>798</x:v>
      </x:c>
      <x:c r="B754" s="23" t="str">
        <x:v>Katagami</x:v>
      </x:c>
      <x:c r="C754" s="23" t="str">
        <x:v>Kartana</x:v>
      </x:c>
      <x:c r="D754" s="23" t="str">
        <x:v>Plante</x:v>
      </x:c>
      <x:c r="E754" s="23" t="str">
        <x:v>Acier</x:v>
      </x:c>
      <x:c r="F754" s="23" t="str">
        <x:v>Non classé</x:v>
      </x:c>
      <x:c r="G754" s="45"/>
      <x:c r="H754" s="45" t="str">
        <x:f>IF(G754="","",ROUNDUP(G754*3,0))</x:f>
      </x:c>
      <x:c r="I754" s="41"/>
      <x:c r="J754" s="42" t="n">
        <x:v>59</x:v>
      </x:c>
      <x:c r="K754" s="42" t="n">
        <x:v>181</x:v>
      </x:c>
      <x:c r="L754" s="42" t="n">
        <x:v>131</x:v>
      </x:c>
      <x:c r="M754" s="42" t="n">
        <x:v>59</x:v>
      </x:c>
      <x:c r="N754" s="42" t="n">
        <x:v>31</x:v>
      </x:c>
      <x:c r="O754" s="42" t="n">
        <x:v>109</x:v>
      </x:c>
      <x:c r="P754" s="43" t="n">
        <x:f>IF(COUNT(J754:O754)=0,"",SUM(J754:O754))</x:f>
        <x:v>570</x:v>
      </x:c>
      <x:c r="Q754" s="23" t="str">
        <x:v>Aucune ligne classée</x:v>
      </x:c>
      <x:c r="R754" s="23" t="str">
        <x:v>Le corps de cette Ultra-Chimère, aussi fin que du papier, tranche comme une épée affûtée.</x:v>
      </x:c>
      <x:c r="S754" s="23" t="str">
        <x:v>Ultra-Chimère : vente et prix à valider.</x:v>
      </x:c>
      <x:c r="T754" s="23" t="str">
        <x:v>https://pixelmonmod.com/wiki/Kartana</x:v>
      </x:c>
    </x:row>
    <x:row r="755" ht="54" customHeight="1">
      <x:c r="A755" s="27" t="n">
        <x:v>799</x:v>
      </x:c>
      <x:c r="B755" s="23" t="str">
        <x:v>Engloutyran</x:v>
      </x:c>
      <x:c r="C755" s="23" t="str">
        <x:v>Guzzlord</x:v>
      </x:c>
      <x:c r="D755" s="23" t="str">
        <x:v>Ténèbres</x:v>
      </x:c>
      <x:c r="E755" s="23" t="str">
        <x:v>Dragon</x:v>
      </x:c>
      <x:c r="F755" s="23" t="str">
        <x:v>Non classé</x:v>
      </x:c>
      <x:c r="G755" s="45"/>
      <x:c r="H755" s="45" t="str">
        <x:f>IF(G755="","",ROUNDUP(G755*3,0))</x:f>
      </x:c>
      <x:c r="I755" s="41"/>
      <x:c r="J755" s="42" t="n">
        <x:v>223</x:v>
      </x:c>
      <x:c r="K755" s="42" t="n">
        <x:v>101</x:v>
      </x:c>
      <x:c r="L755" s="42" t="n">
        <x:v>53</x:v>
      </x:c>
      <x:c r="M755" s="42" t="n">
        <x:v>97</x:v>
      </x:c>
      <x:c r="N755" s="42" t="n">
        <x:v>53</x:v>
      </x:c>
      <x:c r="O755" s="42" t="n">
        <x:v>43</x:v>
      </x:c>
      <x:c r="P755" s="43" t="n">
        <x:f>IF(COUNT(J755:O755)=0,"",SUM(J755:O755))</x:f>
        <x:v>570</x:v>
      </x:c>
      <x:c r="Q755" s="23" t="str">
        <x:v>Aucune ligne classée</x:v>
      </x:c>
      <x:c r="R755" s="23" t="str">
        <x:v>Une forme de vie inconnue appelée une UB. Il semble constamment affamé, engloutissant toujours quelque chose.</x:v>
      </x:c>
      <x:c r="S755" s="23" t="str">
        <x:v>Ultra-Chimère : vente et prix à valider.</x:v>
      </x:c>
      <x:c r="T755" s="23" t="str">
        <x:v>https://pixelmonmod.com/wiki/Guzzlord</x:v>
      </x:c>
    </x:row>
    <x:row r="756" ht="54" customHeight="1">
      <x:c r="A756" s="27" t="n">
        <x:v>801</x:v>
      </x:c>
      <x:c r="B756" s="23" t="str">
        <x:v>Magearna</x:v>
      </x:c>
      <x:c r="C756" s="23" t="str">
        <x:v>Magearna</x:v>
      </x:c>
      <x:c r="D756" s="23" t="str">
        <x:v>Acier</x:v>
      </x:c>
      <x:c r="E756" s="23" t="str">
        <x:v>Fée</x:v>
      </x:c>
      <x:c r="F756" s="23" t="str">
        <x:v>Non classé</x:v>
      </x:c>
      <x:c r="G756" s="45"/>
      <x:c r="H756" s="45" t="str">
        <x:f>IF(G756="","",ROUNDUP(G756*3,0))</x:f>
      </x:c>
      <x:c r="I756" s="41"/>
      <x:c r="J756" s="42" t="n">
        <x:v>80</x:v>
      </x:c>
      <x:c r="K756" s="42" t="n">
        <x:v>95</x:v>
      </x:c>
      <x:c r="L756" s="42" t="n">
        <x:v>115</x:v>
      </x:c>
      <x:c r="M756" s="42" t="n">
        <x:v>130</x:v>
      </x:c>
      <x:c r="N756" s="42" t="n">
        <x:v>115</x:v>
      </x:c>
      <x:c r="O756" s="42" t="n">
        <x:v>65</x:v>
      </x:c>
      <x:c r="P756" s="43" t="n">
        <x:f>IF(COUNT(J756:O756)=0,"",SUM(J756:O756))</x:f>
        <x:v>600</x:v>
      </x:c>
      <x:c r="Q756" s="23" t="str">
        <x:v>Aucune ligne classée</x:v>
      </x:c>
      <x:c r="R756" s="23" t="str">
        <x:v>Elle synchronise sa conscience avec celle des autres pour comprendre leurs émotions. Cette faculté la rend utile pour prendre soin des gens.</x:v>
      </x:c>
      <x:c r="S756" s="23" t="str">
        <x:v>Fabuleux : vente et prix à valider.</x:v>
      </x:c>
      <x:c r="T756" s="23" t="str">
        <x:v>https://pixelmonmod.com/wiki/Magearna</x:v>
      </x:c>
    </x:row>
    <x:row r="757" ht="54" customHeight="1">
      <x:c r="A757" s="27" t="n">
        <x:v>802</x:v>
      </x:c>
      <x:c r="B757" s="23" t="str">
        <x:v>Marshadow</x:v>
      </x:c>
      <x:c r="C757" s="23" t="str">
        <x:v>Marshadow</x:v>
      </x:c>
      <x:c r="D757" s="23" t="str">
        <x:v>Combat</x:v>
      </x:c>
      <x:c r="E757" s="23" t="str">
        <x:v>Spectre</x:v>
      </x:c>
      <x:c r="F757" s="23" t="str">
        <x:v>Non classé</x:v>
      </x:c>
      <x:c r="G757" s="45"/>
      <x:c r="H757" s="45" t="str">
        <x:f>IF(G757="","",ROUNDUP(G757*3,0))</x:f>
      </x:c>
      <x:c r="I757" s="41"/>
      <x:c r="J757" s="42" t="n">
        <x:v>90</x:v>
      </x:c>
      <x:c r="K757" s="42" t="n">
        <x:v>125</x:v>
      </x:c>
      <x:c r="L757" s="42" t="n">
        <x:v>80</x:v>
      </x:c>
      <x:c r="M757" s="42" t="n">
        <x:v>90</x:v>
      </x:c>
      <x:c r="N757" s="42" t="n">
        <x:v>90</x:v>
      </x:c>
      <x:c r="O757" s="42" t="n">
        <x:v>125</x:v>
      </x:c>
      <x:c r="P757" s="43" t="n">
        <x:f>IF(COUNT(J757:O757)=0,"",SUM(J757:O757))</x:f>
        <x:v>600</x:v>
      </x:c>
      <x:c r="Q757" s="23" t="str">
        <x:v>Aucune ligne classée</x:v>
      </x:c>
      <x:c r="R757" s="23" t="str">
        <x:v>Il se glisse dans l'ombre des autres et imite leurs pouvoirs et mouvements. En progressant, il devient plus fort que ceux qu'il imite.</x:v>
      </x:c>
      <x:c r="S757" s="23" t="str">
        <x:v>Fabuleux : vente et prix à valider.</x:v>
      </x:c>
      <x:c r="T757" s="23" t="str">
        <x:v>https://pixelmonmod.com/wiki/Marshadow</x:v>
      </x:c>
    </x:row>
    <x:row r="758" ht="54" customHeight="1">
      <x:c r="A758" s="27" t="n">
        <x:v>803</x:v>
      </x:c>
      <x:c r="B758" s="23" t="str">
        <x:v>Vémini</x:v>
      </x:c>
      <x:c r="C758" s="23" t="str">
        <x:v>Poipole</x:v>
      </x:c>
      <x:c r="D758" s="23" t="str">
        <x:v>Poison</x:v>
      </x:c>
      <x:c r="E758" s="23" t="str"/>
      <x:c r="F758" s="23" t="str">
        <x:v>Non classé</x:v>
      </x:c>
      <x:c r="G758" s="45"/>
      <x:c r="H758" s="45" t="str">
        <x:f>IF(G758="","",ROUNDUP(G758*3,0))</x:f>
      </x:c>
      <x:c r="I758" s="41"/>
      <x:c r="J758" s="42" t="n">
        <x:v>67</x:v>
      </x:c>
      <x:c r="K758" s="42" t="n">
        <x:v>73</x:v>
      </x:c>
      <x:c r="L758" s="42" t="n">
        <x:v>67</x:v>
      </x:c>
      <x:c r="M758" s="42" t="n">
        <x:v>73</x:v>
      </x:c>
      <x:c r="N758" s="42" t="n">
        <x:v>67</x:v>
      </x:c>
      <x:c r="O758" s="42" t="n">
        <x:v>73</x:v>
      </x:c>
      <x:c r="P758" s="43" t="n">
        <x:f>IF(COUNT(J758:O758)=0,"",SUM(J758:O758))</x:f>
        <x:v>420</x:v>
      </x:c>
      <x:c r="Q758" s="23" t="str">
        <x:v>Aucune ligne classée</x:v>
      </x:c>
      <x:c r="R758" s="23" t="str">
        <x:v>Cette Ultra-Chimère est si appréciée dans son monde qu'on la choisit parfois comme premier partenaire.</x:v>
      </x:c>
      <x:c r="S758" s="23" t="str">
        <x:v>Ultra-Chimère : vente et prix à valider.</x:v>
      </x:c>
      <x:c r="T758" s="23" t="str">
        <x:v>https://pixelmonmod.com/wiki/Poipole</x:v>
      </x:c>
    </x:row>
    <x:row r="759" ht="54" customHeight="1">
      <x:c r="A759" s="27" t="n">
        <x:v>804</x:v>
      </x:c>
      <x:c r="B759" s="23" t="str">
        <x:v>Mandrillon</x:v>
      </x:c>
      <x:c r="C759" s="23" t="str">
        <x:v>Naganadel</x:v>
      </x:c>
      <x:c r="D759" s="23" t="str">
        <x:v>Poison</x:v>
      </x:c>
      <x:c r="E759" s="23" t="str">
        <x:v>Dragon</x:v>
      </x:c>
      <x:c r="F759" s="23" t="str">
        <x:v>Non classé</x:v>
      </x:c>
      <x:c r="G759" s="45"/>
      <x:c r="H759" s="45" t="str">
        <x:f>IF(G759="","",ROUNDUP(G759*3,0))</x:f>
      </x:c>
      <x:c r="I759" s="41"/>
      <x:c r="J759" s="42" t="n">
        <x:v>73</x:v>
      </x:c>
      <x:c r="K759" s="42" t="n">
        <x:v>73</x:v>
      </x:c>
      <x:c r="L759" s="42" t="n">
        <x:v>73</x:v>
      </x:c>
      <x:c r="M759" s="42" t="n">
        <x:v>127</x:v>
      </x:c>
      <x:c r="N759" s="42" t="n">
        <x:v>73</x:v>
      </x:c>
      <x:c r="O759" s="42" t="n">
        <x:v>121</x:v>
      </x:c>
      <x:c r="P759" s="43" t="n">
        <x:f>IF(COUNT(J759:O759)=0,"",SUM(J759:O759))</x:f>
        <x:v>540</x:v>
      </x:c>
      <x:c r="Q759" s="23" t="str">
        <x:v>Aucune ligne classée</x:v>
      </x:c>
      <x:c r="R759" s="23" t="str">
        <x:v>Il stocke des centaines de litres de liquide toxique dans son corps. Il fait partie des organismes connus sous le nom d'Ultras.</x:v>
      </x:c>
      <x:c r="S759" s="23" t="str">
        <x:v>Ultra-Chimère : vente et prix à valider.</x:v>
      </x:c>
      <x:c r="T759" s="23" t="str">
        <x:v>https://pixelmonmod.com/wiki/Naganadel</x:v>
      </x:c>
    </x:row>
    <x:row r="760" ht="54" customHeight="1">
      <x:c r="A760" s="27" t="n">
        <x:v>805</x:v>
      </x:c>
      <x:c r="B760" s="23" t="str">
        <x:v>Ama-Ama</x:v>
      </x:c>
      <x:c r="C760" s="23" t="str">
        <x:v>Stakataka</x:v>
      </x:c>
      <x:c r="D760" s="23" t="str">
        <x:v>Roche</x:v>
      </x:c>
      <x:c r="E760" s="23" t="str">
        <x:v>Acier</x:v>
      </x:c>
      <x:c r="F760" s="23" t="str">
        <x:v>Non classé</x:v>
      </x:c>
      <x:c r="G760" s="45"/>
      <x:c r="H760" s="45" t="str">
        <x:f>IF(G760="","",ROUNDUP(G760*3,0))</x:f>
      </x:c>
      <x:c r="I760" s="41"/>
      <x:c r="J760" s="42" t="n">
        <x:v>61</x:v>
      </x:c>
      <x:c r="K760" s="42" t="n">
        <x:v>131</x:v>
      </x:c>
      <x:c r="L760" s="42" t="n">
        <x:v>211</x:v>
      </x:c>
      <x:c r="M760" s="42" t="n">
        <x:v>53</x:v>
      </x:c>
      <x:c r="N760" s="42" t="n">
        <x:v>101</x:v>
      </x:c>
      <x:c r="O760" s="42" t="n">
        <x:v>13</x:v>
      </x:c>
      <x:c r="P760" s="43" t="n">
        <x:f>IF(COUNT(J760:O760)=0,"",SUM(J760:O760))</x:f>
        <x:v>570</x:v>
      </x:c>
      <x:c r="Q760" s="23" t="str">
        <x:v>Aucune ligne classée</x:v>
      </x:c>
      <x:c r="R760" s="23" t="str">
        <x:v>Lorsque des murs de pierre se sont mis à bouger et attaquer, la véritable identité de cette brute s'est révélée : cette mystérieuse créature évoque une Ultra-Chimère.</x:v>
      </x:c>
      <x:c r="S760" s="23" t="str">
        <x:v>Ultra-Chimère : vente et prix à valider.</x:v>
      </x:c>
      <x:c r="T760" s="23" t="str">
        <x:v>https://pixelmonmod.com/wiki/Stakataka</x:v>
      </x:c>
    </x:row>
    <x:row r="761" ht="54" customHeight="1">
      <x:c r="A761" s="27" t="n">
        <x:v>806</x:v>
      </x:c>
      <x:c r="B761" s="23" t="str">
        <x:v>Pierroteknik</x:v>
      </x:c>
      <x:c r="C761" s="23" t="str">
        <x:v>Blacephalon</x:v>
      </x:c>
      <x:c r="D761" s="23" t="str">
        <x:v>Feu</x:v>
      </x:c>
      <x:c r="E761" s="23" t="str">
        <x:v>Spectre</x:v>
      </x:c>
      <x:c r="F761" s="23" t="str">
        <x:v>Non classé</x:v>
      </x:c>
      <x:c r="G761" s="45"/>
      <x:c r="H761" s="45" t="str">
        <x:f>IF(G761="","",ROUNDUP(G761*3,0))</x:f>
      </x:c>
      <x:c r="I761" s="41"/>
      <x:c r="J761" s="42" t="n">
        <x:v>53</x:v>
      </x:c>
      <x:c r="K761" s="42" t="n">
        <x:v>127</x:v>
      </x:c>
      <x:c r="L761" s="42" t="n">
        <x:v>53</x:v>
      </x:c>
      <x:c r="M761" s="42" t="n">
        <x:v>151</x:v>
      </x:c>
      <x:c r="N761" s="42" t="n">
        <x:v>79</x:v>
      </x:c>
      <x:c r="O761" s="42" t="n">
        <x:v>107</x:v>
      </x:c>
      <x:c r="P761" s="43" t="n">
        <x:f>IF(COUNT(J761:O761)=0,"",SUM(J761:O761))</x:f>
        <x:v>570</x:v>
      </x:c>
      <x:c r="Q761" s="23" t="str">
        <x:v>Aucune ligne classée</x:v>
      </x:c>
      <x:c r="R761" s="23" t="str">
        <x:v>Il se faufile en rampant vers les gens. Puis, sans prévenir, il fait exploser sa propre tête. Il s'agit apparemment d'un type d'Ultra-Chimère.</x:v>
      </x:c>
      <x:c r="S761" s="23" t="str">
        <x:v>Ultra-Chimère : vente et prix à valider.</x:v>
      </x:c>
      <x:c r="T761" s="23" t="str">
        <x:v>https://pixelmonmod.com/wiki/Blacephalon</x:v>
      </x:c>
    </x:row>
    <x:row r="762" ht="54" customHeight="1">
      <x:c r="A762" s="27" t="n">
        <x:v>807</x:v>
      </x:c>
      <x:c r="B762" s="23" t="str">
        <x:v>Zeraora</x:v>
      </x:c>
      <x:c r="C762" s="23" t="str">
        <x:v>Zeraora</x:v>
      </x:c>
      <x:c r="D762" s="23" t="str">
        <x:v>Électrik</x:v>
      </x:c>
      <x:c r="E762" s="23" t="str"/>
      <x:c r="F762" s="23" t="str">
        <x:v>Non classé</x:v>
      </x:c>
      <x:c r="G762" s="45"/>
      <x:c r="H762" s="45" t="str">
        <x:f>IF(G762="","",ROUNDUP(G762*3,0))</x:f>
      </x:c>
      <x:c r="I762" s="41"/>
      <x:c r="J762" s="42" t="n">
        <x:v>88</x:v>
      </x:c>
      <x:c r="K762" s="42" t="n">
        <x:v>112</x:v>
      </x:c>
      <x:c r="L762" s="42" t="n">
        <x:v>75</x:v>
      </x:c>
      <x:c r="M762" s="42" t="n">
        <x:v>102</x:v>
      </x:c>
      <x:c r="N762" s="42" t="n">
        <x:v>80</x:v>
      </x:c>
      <x:c r="O762" s="42" t="n">
        <x:v>143</x:v>
      </x:c>
      <x:c r="P762" s="43" t="n">
        <x:f>IF(COUNT(J762:O762)=0,"",SUM(J762:O762))</x:f>
        <x:v>600</x:v>
      </x:c>
      <x:c r="Q762" s="23" t="str">
        <x:v>Aucune ligne classée</x:v>
      </x:c>
      <x:c r="R762" s="23" t="str">
        <x:v>Il électrifie ses griffes et lacère ses adversaires avec. Même s'ils esquivent l'attaque, les étincelles volantes risquent de les électrocuter.</x:v>
      </x:c>
      <x:c r="S762" s="23" t="str">
        <x:v>Fabuleux : vente et prix à valider.</x:v>
      </x:c>
      <x:c r="T762" s="23" t="str">
        <x:v>https://pixelmonmod.com/wiki/Zeraora</x:v>
      </x:c>
    </x:row>
    <x:row r="763" ht="54" customHeight="1">
      <x:c r="A763" s="27" t="n">
        <x:v>808</x:v>
      </x:c>
      <x:c r="B763" s="23" t="str">
        <x:v>Meltan</x:v>
      </x:c>
      <x:c r="C763" s="23" t="str">
        <x:v>Meltan</x:v>
      </x:c>
      <x:c r="D763" s="23" t="str">
        <x:v>Acier</x:v>
      </x:c>
      <x:c r="E763" s="23" t="str"/>
      <x:c r="F763" s="23" t="str">
        <x:v>Non classé</x:v>
      </x:c>
      <x:c r="G763" s="45"/>
      <x:c r="H763" s="45" t="str">
        <x:f>IF(G763="","",ROUNDUP(G763*3,0))</x:f>
      </x:c>
      <x:c r="I763" s="41"/>
      <x:c r="J763" s="42" t="n">
        <x:v>46</x:v>
      </x:c>
      <x:c r="K763" s="42" t="n">
        <x:v>65</x:v>
      </x:c>
      <x:c r="L763" s="42" t="n">
        <x:v>65</x:v>
      </x:c>
      <x:c r="M763" s="42" t="n">
        <x:v>55</x:v>
      </x:c>
      <x:c r="N763" s="42" t="n">
        <x:v>35</x:v>
      </x:c>
      <x:c r="O763" s="42" t="n">
        <x:v>34</x:v>
      </x:c>
      <x:c r="P763" s="43" t="n">
        <x:f>IF(COUNT(J763:O763)=0,"",SUM(J763:O763))</x:f>
        <x:v>300</x:v>
      </x:c>
      <x:c r="Q763" s="23" t="str">
        <x:v>Aucune ligne classée</x:v>
      </x:c>
      <x:c r="R763" s="23" t="str">
        <x:v>Il fait fondre les particules de fer et les métaux présents dans le sous-sol afin de les absorber dans son corps de métal en fusion.</x:v>
      </x:c>
      <x:c r="S763" s="23" t="str">
        <x:v>Fabuleux : vente et prix à valider.</x:v>
      </x:c>
      <x:c r="T763" s="23" t="str">
        <x:v>https://pixelmonmod.com/wiki/Meltan</x:v>
      </x:c>
    </x:row>
    <x:row r="764" ht="54" customHeight="1">
      <x:c r="A764" s="27" t="n">
        <x:v>809</x:v>
      </x:c>
      <x:c r="B764" s="23" t="str">
        <x:v>Melmetal</x:v>
      </x:c>
      <x:c r="C764" s="23" t="str">
        <x:v>Melmetal</x:v>
      </x:c>
      <x:c r="D764" s="23" t="str">
        <x:v>Acier</x:v>
      </x:c>
      <x:c r="E764" s="23" t="str"/>
      <x:c r="F764" s="23" t="str">
        <x:v>Non classé</x:v>
      </x:c>
      <x:c r="G764" s="45"/>
      <x:c r="H764" s="45" t="str">
        <x:f>IF(G764="","",ROUNDUP(G764*3,0))</x:f>
      </x:c>
      <x:c r="I764" s="41"/>
      <x:c r="J764" s="42" t="n">
        <x:v>135</x:v>
      </x:c>
      <x:c r="K764" s="42" t="n">
        <x:v>143</x:v>
      </x:c>
      <x:c r="L764" s="42" t="n">
        <x:v>143</x:v>
      </x:c>
      <x:c r="M764" s="42" t="n">
        <x:v>80</x:v>
      </x:c>
      <x:c r="N764" s="42" t="n">
        <x:v>65</x:v>
      </x:c>
      <x:c r="O764" s="42" t="n">
        <x:v>34</x:v>
      </x:c>
      <x:c r="P764" s="43" t="n">
        <x:f>IF(COUNT(J764:O764)=0,"",SUM(J764:O764))</x:f>
        <x:v>600</x:v>
      </x:c>
      <x:c r="Q764" s="23" t="str">
        <x:v>Aucune ligne classée</x:v>
      </x:c>
      <x:c r="R764" s="23" t="str">
        <x:v>Révéré autrefois pour sa capacité à créer du fer à partir de rien, il est pour une raison inconnue revenu à la vie après 3 000 ans.</x:v>
      </x:c>
      <x:c r="S764" s="23" t="str">
        <x:v>Fabuleux : vente et prix à valider.</x:v>
      </x:c>
      <x:c r="T764" s="23" t="str">
        <x:v>https://pixelmonmod.com/wiki/Melmetal</x:v>
      </x:c>
    </x:row>
    <x:row r="765" ht="54" customHeight="1">
      <x:c r="A765" s="27" t="n">
        <x:v>810</x:v>
      </x:c>
      <x:c r="B765" s="23" t="str">
        <x:v>Ouistempo</x:v>
      </x:c>
      <x:c r="C765" s="23" t="str">
        <x:v>Grookey</x:v>
      </x:c>
      <x:c r="D765" s="23" t="str">
        <x:v>Plante</x:v>
      </x:c>
      <x:c r="E765" s="23" t="str"/>
      <x:c r="F765" s="23" t="str">
        <x:v>Ultra Rare</x:v>
      </x:c>
      <x:c r="G765" s="45" t="n">
        <x:v>75000</x:v>
      </x:c>
      <x:c r="H765" s="45" t="n">
        <x:f>IF(G765="","",ROUNDUP(G765*3,0))</x:f>
        <x:v>225000</x:v>
      </x:c>
      <x:c r="I765" s="41" t="n">
        <x:v>1</x:v>
      </x:c>
      <x:c r="J765" s="42" t="n">
        <x:v>50</x:v>
      </x:c>
      <x:c r="K765" s="42" t="n">
        <x:v>65</x:v>
      </x:c>
      <x:c r="L765" s="42" t="n">
        <x:v>50</x:v>
      </x:c>
      <x:c r="M765" s="42" t="n">
        <x:v>40</x:v>
      </x:c>
      <x:c r="N765" s="42" t="n">
        <x:v>40</x:v>
      </x:c>
      <x:c r="O765" s="42" t="n">
        <x:v>65</x:v>
      </x:c>
      <x:c r="P765" s="43" t="n">
        <x:f>IF(COUNT(J765:O765)=0,"",SUM(J765:O765))</x:f>
        <x:v>310</x:v>
      </x:c>
      <x:c r="Q765" s="23" t="str">
        <x:v>1 lignes de spawn</x:v>
      </x:c>
      <x:c r="R765" s="23" t="str">
        <x:v>Quand il utilise son bâton spécial pour battre la mesure, les ondes sonores produites revitalisent les plantes et les fleurs alentours.</x:v>
      </x:c>
      <x:c r="S765" s="23" t="str"/>
      <x:c r="T765" s="23" t="str">
        <x:v>https://pixelmonmod.com/wiki/Grookey</x:v>
      </x:c>
    </x:row>
    <x:row r="766" ht="54" customHeight="1">
      <x:c r="A766" s="27" t="n">
        <x:v>811</x:v>
      </x:c>
      <x:c r="B766" s="23" t="str">
        <x:v>Badabouin</x:v>
      </x:c>
      <x:c r="C766" s="23" t="str">
        <x:v>Thwackey</x:v>
      </x:c>
      <x:c r="D766" s="23" t="str">
        <x:v>Plante</x:v>
      </x:c>
      <x:c r="E766" s="23" t="str"/>
      <x:c r="F766" s="23" t="str">
        <x:v>Ultra Rare</x:v>
      </x:c>
      <x:c r="G766" s="45" t="n">
        <x:v>75000</x:v>
      </x:c>
      <x:c r="H766" s="45" t="n">
        <x:f>IF(G766="","",ROUNDUP(G766*3,0))</x:f>
        <x:v>225000</x:v>
      </x:c>
      <x:c r="I766" s="41" t="n">
        <x:v>1</x:v>
      </x:c>
      <x:c r="J766" s="42" t="n">
        <x:v>70</x:v>
      </x:c>
      <x:c r="K766" s="42" t="n">
        <x:v>85</x:v>
      </x:c>
      <x:c r="L766" s="42" t="n">
        <x:v>70</x:v>
      </x:c>
      <x:c r="M766" s="42" t="n">
        <x:v>55</x:v>
      </x:c>
      <x:c r="N766" s="42" t="n">
        <x:v>60</x:v>
      </x:c>
      <x:c r="O766" s="42" t="n">
        <x:v>80</x:v>
      </x:c>
      <x:c r="P766" s="43" t="n">
        <x:f>IF(COUNT(J766:O766)=0,"",SUM(J766:O766))</x:f>
        <x:v>420</x:v>
      </x:c>
      <x:c r="Q766" s="23" t="str">
        <x:v>1 lignes de spawn</x:v>
      </x:c>
      <x:c r="R766" s="23" t="str">
        <x:v>Plus Badabouin frappe vite un rythme avec ses deux bâtons, plus il gagne le respect de ses pairs.</x:v>
      </x:c>
      <x:c r="S766" s="23" t="str"/>
      <x:c r="T766" s="23" t="str">
        <x:v>https://pixelmonmod.com/wiki/Thwackey</x:v>
      </x:c>
    </x:row>
    <x:row r="767" ht="54" customHeight="1">
      <x:c r="A767" s="27" t="n">
        <x:v>812</x:v>
      </x:c>
      <x:c r="B767" s="23" t="str">
        <x:v>Gorythmic</x:v>
      </x:c>
      <x:c r="C767" s="23" t="str">
        <x:v>Rillaboom</x:v>
      </x:c>
      <x:c r="D767" s="23" t="str">
        <x:v>Plante</x:v>
      </x:c>
      <x:c r="E767" s="23" t="str"/>
      <x:c r="F767" s="23" t="str">
        <x:v>Ultra Rare</x:v>
      </x:c>
      <x:c r="G767" s="45" t="n">
        <x:v>75000</x:v>
      </x:c>
      <x:c r="H767" s="45" t="n">
        <x:f>IF(G767="","",ROUNDUP(G767*3,0))</x:f>
        <x:v>225000</x:v>
      </x:c>
      <x:c r="I767" s="41" t="n">
        <x:v>1</x:v>
      </x:c>
      <x:c r="J767" s="42" t="n">
        <x:v>100</x:v>
      </x:c>
      <x:c r="K767" s="42" t="n">
        <x:v>125</x:v>
      </x:c>
      <x:c r="L767" s="42" t="n">
        <x:v>90</x:v>
      </x:c>
      <x:c r="M767" s="42" t="n">
        <x:v>60</x:v>
      </x:c>
      <x:c r="N767" s="42" t="n">
        <x:v>70</x:v>
      </x:c>
      <x:c r="O767" s="42" t="n">
        <x:v>85</x:v>
      </x:c>
      <x:c r="P767" s="43" t="n">
        <x:f>IF(COUNT(J767:O767)=0,"",SUM(J767:O767))</x:f>
        <x:v>530</x:v>
      </x:c>
      <x:c r="Q767" s="23" t="str">
        <x:v>1 lignes de spawn</x:v>
      </x:c>
      <x:c r="R767" s="23" t="str">
        <x:v>En jouant du tambour, il puise dans la force de sa souche spéciale. Les racines de cette dernière obéissent à ses ordres durant les combats.</x:v>
      </x:c>
      <x:c r="S767" s="23" t="str"/>
      <x:c r="T767" s="23" t="str">
        <x:v>https://pixelmonmod.com/wiki/Rillaboom</x:v>
      </x:c>
    </x:row>
    <x:row r="768" ht="54" customHeight="1">
      <x:c r="A768" s="27" t="n">
        <x:v>813</x:v>
      </x:c>
      <x:c r="B768" s="23" t="str">
        <x:v>Flambino</x:v>
      </x:c>
      <x:c r="C768" s="23" t="str">
        <x:v>Scorbunny</x:v>
      </x:c>
      <x:c r="D768" s="23" t="str">
        <x:v>Feu</x:v>
      </x:c>
      <x:c r="E768" s="23" t="str"/>
      <x:c r="F768" s="23" t="str">
        <x:v>Ultra Rare</x:v>
      </x:c>
      <x:c r="G768" s="45" t="n">
        <x:v>75000</x:v>
      </x:c>
      <x:c r="H768" s="45" t="n">
        <x:f>IF(G768="","",ROUNDUP(G768*3,0))</x:f>
        <x:v>225000</x:v>
      </x:c>
      <x:c r="I768" s="41" t="n">
        <x:v>1</x:v>
      </x:c>
      <x:c r="J768" s="42" t="n">
        <x:v>50</x:v>
      </x:c>
      <x:c r="K768" s="42" t="n">
        <x:v>71</x:v>
      </x:c>
      <x:c r="L768" s="42" t="n">
        <x:v>40</x:v>
      </x:c>
      <x:c r="M768" s="42" t="n">
        <x:v>40</x:v>
      </x:c>
      <x:c r="N768" s="42" t="n">
        <x:v>40</x:v>
      </x:c>
      <x:c r="O768" s="42" t="n">
        <x:v>69</x:v>
      </x:c>
      <x:c r="P768" s="43" t="n">
        <x:f>IF(COUNT(J768:O768)=0,"",SUM(J768:O768))</x:f>
        <x:v>310</x:v>
      </x:c>
      <x:c r="Q768" s="23" t="str">
        <x:v>1 lignes de spawn</x:v>
      </x:c>
      <x:c r="R768" s="23" t="str">
        <x:v>Un échauffement en courant fait circuler l'énergie de feu dans tout son corps. Une fois lancé, il est prêt à combattre à pleine puissance.</x:v>
      </x:c>
      <x:c r="S768" s="23" t="str"/>
      <x:c r="T768" s="23" t="str">
        <x:v>https://pixelmonmod.com/wiki/Scorbunny</x:v>
      </x:c>
    </x:row>
    <x:row r="769" ht="54" customHeight="1">
      <x:c r="A769" s="27" t="n">
        <x:v>814</x:v>
      </x:c>
      <x:c r="B769" s="23" t="str">
        <x:v>Lapyro</x:v>
      </x:c>
      <x:c r="C769" s="23" t="str">
        <x:v>Raboot</x:v>
      </x:c>
      <x:c r="D769" s="23" t="str">
        <x:v>Feu</x:v>
      </x:c>
      <x:c r="E769" s="23" t="str"/>
      <x:c r="F769" s="23" t="str">
        <x:v>Ultra Rare</x:v>
      </x:c>
      <x:c r="G769" s="45" t="n">
        <x:v>75000</x:v>
      </x:c>
      <x:c r="H769" s="45" t="n">
        <x:f>IF(G769="","",ROUNDUP(G769*3,0))</x:f>
        <x:v>225000</x:v>
      </x:c>
      <x:c r="I769" s="41" t="n">
        <x:v>1</x:v>
      </x:c>
      <x:c r="J769" s="42" t="n">
        <x:v>65</x:v>
      </x:c>
      <x:c r="K769" s="42" t="n">
        <x:v>86</x:v>
      </x:c>
      <x:c r="L769" s="42" t="n">
        <x:v>60</x:v>
      </x:c>
      <x:c r="M769" s="42" t="n">
        <x:v>55</x:v>
      </x:c>
      <x:c r="N769" s="42" t="n">
        <x:v>60</x:v>
      </x:c>
      <x:c r="O769" s="42" t="n">
        <x:v>94</x:v>
      </x:c>
      <x:c r="P769" s="43" t="n">
        <x:f>IF(COUNT(J769:O769)=0,"",SUM(J769:O769))</x:f>
        <x:v>420</x:v>
      </x:c>
      <x:c r="Q769" s="23" t="str">
        <x:v>1 lignes de spawn</x:v>
      </x:c>
      <x:c r="R769" s="23" t="str">
        <x:v>Sa fourrure épaisse et duveteuse le protège du froid et lui permet d'utiliser des attaques Feu encore plus brûlantes.</x:v>
      </x:c>
      <x:c r="S769" s="23" t="str"/>
      <x:c r="T769" s="23" t="str">
        <x:v>https://pixelmonmod.com/wiki/Raboot</x:v>
      </x:c>
    </x:row>
    <x:row r="770" ht="54" customHeight="1">
      <x:c r="A770" s="27" t="n">
        <x:v>815</x:v>
      </x:c>
      <x:c r="B770" s="23" t="str">
        <x:v>Pyrobut</x:v>
      </x:c>
      <x:c r="C770" s="23" t="str">
        <x:v>Cinderace</x:v>
      </x:c>
      <x:c r="D770" s="23" t="str">
        <x:v>Feu</x:v>
      </x:c>
      <x:c r="E770" s="23" t="str"/>
      <x:c r="F770" s="23" t="str">
        <x:v>Ultra Rare</x:v>
      </x:c>
      <x:c r="G770" s="45" t="n">
        <x:v>75000</x:v>
      </x:c>
      <x:c r="H770" s="45" t="n">
        <x:f>IF(G770="","",ROUNDUP(G770*3,0))</x:f>
        <x:v>225000</x:v>
      </x:c>
      <x:c r="I770" s="41" t="n">
        <x:v>1</x:v>
      </x:c>
      <x:c r="J770" s="42" t="n">
        <x:v>80</x:v>
      </x:c>
      <x:c r="K770" s="42" t="n">
        <x:v>116</x:v>
      </x:c>
      <x:c r="L770" s="42" t="n">
        <x:v>75</x:v>
      </x:c>
      <x:c r="M770" s="42" t="n">
        <x:v>65</x:v>
      </x:c>
      <x:c r="N770" s="42" t="n">
        <x:v>75</x:v>
      </x:c>
      <x:c r="O770" s="42" t="n">
        <x:v>119</x:v>
      </x:c>
      <x:c r="P770" s="43" t="n">
        <x:f>IF(COUNT(J770:O770)=0,"",SUM(J770:O770))</x:f>
        <x:v>530</x:v>
      </x:c>
      <x:c r="Q770" s="23" t="str">
        <x:v>1 lignes de spawn</x:v>
      </x:c>
      <x:c r="R770" s="23" t="str">
        <x:v>Il jongle avec un caillou du bout du pied avant de le transformer en ballon enflammé. Ses tirs frappent avec puissance et laissent les adversaires carbonisés.</x:v>
      </x:c>
      <x:c r="S770" s="23" t="str"/>
      <x:c r="T770" s="23" t="str">
        <x:v>https://pixelmonmod.com/wiki/Cinderace</x:v>
      </x:c>
    </x:row>
    <x:row r="771" ht="54" customHeight="1">
      <x:c r="A771" s="27" t="n">
        <x:v>816</x:v>
      </x:c>
      <x:c r="B771" s="23" t="str">
        <x:v>Larméléon</x:v>
      </x:c>
      <x:c r="C771" s="23" t="str">
        <x:v>Sobble</x:v>
      </x:c>
      <x:c r="D771" s="23" t="str">
        <x:v>Eau</x:v>
      </x:c>
      <x:c r="E771" s="23" t="str"/>
      <x:c r="F771" s="23" t="str">
        <x:v>Ultra Rare</x:v>
      </x:c>
      <x:c r="G771" s="45" t="n">
        <x:v>75000</x:v>
      </x:c>
      <x:c r="H771" s="45" t="n">
        <x:f>IF(G771="","",ROUNDUP(G771*3,0))</x:f>
        <x:v>225000</x:v>
      </x:c>
      <x:c r="I771" s="41" t="n">
        <x:v>0.75</x:v>
      </x:c>
      <x:c r="J771" s="42" t="n">
        <x:v>50</x:v>
      </x:c>
      <x:c r="K771" s="42" t="n">
        <x:v>40</x:v>
      </x:c>
      <x:c r="L771" s="42" t="n">
        <x:v>40</x:v>
      </x:c>
      <x:c r="M771" s="42" t="n">
        <x:v>70</x:v>
      </x:c>
      <x:c r="N771" s="42" t="n">
        <x:v>40</x:v>
      </x:c>
      <x:c r="O771" s="42" t="n">
        <x:v>70</x:v>
      </x:c>
      <x:c r="P771" s="43" t="n">
        <x:f>IF(COUNT(J771:O771)=0,"",SUM(J771:O771))</x:f>
        <x:v>310</x:v>
      </x:c>
      <x:c r="Q771" s="23" t="str">
        <x:v>8 lignes de spawn</x:v>
      </x:c>
      <x:c r="R771" s="23" t="str">
        <x:v>Lorsqu'il a peur, il pleure. Ses larmes ont la puissance irritante de cent oignons, poussant ses agresseurs à pleurer à leur tour.</x:v>
      </x:c>
      <x:c r="S771" s="23" t="str"/>
      <x:c r="T771" s="23" t="str">
        <x:v>https://pixelmonmod.com/wiki/Sobble</x:v>
      </x:c>
    </x:row>
    <x:row r="772" ht="54" customHeight="1">
      <x:c r="A772" s="27" t="n">
        <x:v>817</x:v>
      </x:c>
      <x:c r="B772" s="23" t="str">
        <x:v>Arrozard</x:v>
      </x:c>
      <x:c r="C772" s="23" t="str">
        <x:v>Drizzile</x:v>
      </x:c>
      <x:c r="D772" s="23" t="str">
        <x:v>Eau</x:v>
      </x:c>
      <x:c r="E772" s="23" t="str"/>
      <x:c r="F772" s="23" t="str">
        <x:v>Ultra Rare</x:v>
      </x:c>
      <x:c r="G772" s="45" t="n">
        <x:v>75000</x:v>
      </x:c>
      <x:c r="H772" s="45" t="n">
        <x:f>IF(G772="","",ROUNDUP(G772*3,0))</x:f>
        <x:v>225000</x:v>
      </x:c>
      <x:c r="I772" s="41" t="n">
        <x:v>1</x:v>
      </x:c>
      <x:c r="J772" s="42" t="n">
        <x:v>65</x:v>
      </x:c>
      <x:c r="K772" s="42" t="n">
        <x:v>60</x:v>
      </x:c>
      <x:c r="L772" s="42" t="n">
        <x:v>55</x:v>
      </x:c>
      <x:c r="M772" s="42" t="n">
        <x:v>95</x:v>
      </x:c>
      <x:c r="N772" s="42" t="n">
        <x:v>55</x:v>
      </x:c>
      <x:c r="O772" s="42" t="n">
        <x:v>90</x:v>
      </x:c>
      <x:c r="P772" s="43" t="n">
        <x:f>IF(COUNT(J772:O772)=0,"",SUM(J772:O772))</x:f>
        <x:v>420</x:v>
      </x:c>
      <x:c r="Q772" s="23" t="str">
        <x:v>2 lignes de spawn</x:v>
      </x:c>
      <x:c r="R772" s="23" t="str">
        <x:v>Un combattant rusé : il se bat en utilisant des ballons d'eau créés à partir de l'humidité sécrétée par ses paumes.</x:v>
      </x:c>
      <x:c r="S772" s="23" t="str"/>
      <x:c r="T772" s="23" t="str">
        <x:v>https://pixelmonmod.com/wiki/Drizzile</x:v>
      </x:c>
    </x:row>
    <x:row r="773" ht="54" customHeight="1">
      <x:c r="A773" s="27" t="n">
        <x:v>818</x:v>
      </x:c>
      <x:c r="B773" s="23" t="str">
        <x:v>Lézargus</x:v>
      </x:c>
      <x:c r="C773" s="23" t="str">
        <x:v>Inteleon</x:v>
      </x:c>
      <x:c r="D773" s="23" t="str">
        <x:v>Eau</x:v>
      </x:c>
      <x:c r="E773" s="23" t="str"/>
      <x:c r="F773" s="23" t="str">
        <x:v>Ultra Rare</x:v>
      </x:c>
      <x:c r="G773" s="45" t="n">
        <x:v>75000</x:v>
      </x:c>
      <x:c r="H773" s="45" t="n">
        <x:f>IF(G773="","",ROUNDUP(G773*3,0))</x:f>
        <x:v>225000</x:v>
      </x:c>
      <x:c r="I773" s="41" t="n">
        <x:v>1</x:v>
      </x:c>
      <x:c r="J773" s="42" t="n">
        <x:v>70</x:v>
      </x:c>
      <x:c r="K773" s="42" t="n">
        <x:v>85</x:v>
      </x:c>
      <x:c r="L773" s="42" t="n">
        <x:v>65</x:v>
      </x:c>
      <x:c r="M773" s="42" t="n">
        <x:v>125</x:v>
      </x:c>
      <x:c r="N773" s="42" t="n">
        <x:v>65</x:v>
      </x:c>
      <x:c r="O773" s="42" t="n">
        <x:v>120</x:v>
      </x:c>
      <x:c r="P773" s="43" t="n">
        <x:f>IF(COUNT(J773:O773)=0,"",SUM(J773:O773))</x:f>
        <x:v>530</x:v>
      </x:c>
      <x:c r="Q773" s="23" t="str">
        <x:v>2 lignes de spawn</x:v>
      </x:c>
      <x:c r="R773" s="23" t="str">
        <x:v>Il possède de nombreuses capacités cachées, comme des doigts capables de projeter de l'eau et une membrane dorsale lui permettant de planer dans les airs.</x:v>
      </x:c>
      <x:c r="S773" s="23" t="str"/>
      <x:c r="T773" s="23" t="str">
        <x:v>https://pixelmonmod.com/wiki/Inteleon</x:v>
      </x:c>
    </x:row>
    <x:row r="774" ht="54" customHeight="1">
      <x:c r="A774" s="27" t="n">
        <x:v>819</x:v>
      </x:c>
      <x:c r="B774" s="23" t="str">
        <x:v>Rongourmand</x:v>
      </x:c>
      <x:c r="C774" s="23" t="str">
        <x:v>Skwovet</x:v>
      </x:c>
      <x:c r="D774" s="23" t="str">
        <x:v>Normal</x:v>
      </x:c>
      <x:c r="E774" s="23" t="str"/>
      <x:c r="F774" s="23" t="str">
        <x:v>Common / Uncommon</x:v>
      </x:c>
      <x:c r="G774" s="45" t="n">
        <x:v>5000</x:v>
      </x:c>
      <x:c r="H774" s="45" t="n">
        <x:f>IF(G774="","",ROUNDUP(G774*3,0))</x:f>
        <x:v>15000</x:v>
      </x:c>
      <x:c r="I774" s="41" t="n">
        <x:v>0.5</x:v>
      </x:c>
      <x:c r="J774" s="42" t="n">
        <x:v>70</x:v>
      </x:c>
      <x:c r="K774" s="42" t="n">
        <x:v>55</x:v>
      </x:c>
      <x:c r="L774" s="42" t="n">
        <x:v>55</x:v>
      </x:c>
      <x:c r="M774" s="42" t="n">
        <x:v>35</x:v>
      </x:c>
      <x:c r="N774" s="42" t="n">
        <x:v>35</x:v>
      </x:c>
      <x:c r="O774" s="42" t="n">
        <x:v>25</x:v>
      </x:c>
      <x:c r="P774" s="43" t="n">
        <x:f>IF(COUNT(J774:O774)=0,"",SUM(J774:O774))</x:f>
        <x:v>275</x:v>
      </x:c>
      <x:c r="Q774" s="23" t="str">
        <x:v>4 lignes de spawn</x:v>
      </x:c>
      <x:c r="R774" s="23" t="str">
        <x:v>Présent partout dans la région de Galar, ce Pokémon devient anxieux si ses bajoues sont complètement dépourvues de Baies.</x:v>
      </x:c>
      <x:c r="S774" s="23" t="str">
        <x:v>Égalité de fréquence; prix provisoire basé sur le palier le plus élevé.</x:v>
      </x:c>
      <x:c r="T774" s="23" t="str">
        <x:v>https://pixelmonmod.com/wiki/Skwovet</x:v>
      </x:c>
    </x:row>
    <x:row r="775" ht="54" customHeight="1">
      <x:c r="A775" s="27" t="n">
        <x:v>820</x:v>
      </x:c>
      <x:c r="B775" s="23" t="str">
        <x:v>Rongrigou</x:v>
      </x:c>
      <x:c r="C775" s="23" t="str">
        <x:v>Greedent</x:v>
      </x:c>
      <x:c r="D775" s="23" t="str">
        <x:v>Normal</x:v>
      </x:c>
      <x:c r="E775" s="23" t="str"/>
      <x:c r="F775" s="23" t="str">
        <x:v>Uncommon / Rare</x:v>
      </x:c>
      <x:c r="G775" s="45" t="n">
        <x:v>12000</x:v>
      </x:c>
      <x:c r="H775" s="45" t="n">
        <x:f>IF(G775="","",ROUNDUP(G775*3,0))</x:f>
        <x:v>36000</x:v>
      </x:c>
      <x:c r="I775" s="41" t="n">
        <x:v>0.5</x:v>
      </x:c>
      <x:c r="J775" s="42" t="n">
        <x:v>120</x:v>
      </x:c>
      <x:c r="K775" s="42" t="n">
        <x:v>95</x:v>
      </x:c>
      <x:c r="L775" s="42" t="n">
        <x:v>95</x:v>
      </x:c>
      <x:c r="M775" s="42" t="n">
        <x:v>55</x:v>
      </x:c>
      <x:c r="N775" s="42" t="n">
        <x:v>75</x:v>
      </x:c>
      <x:c r="O775" s="42" t="n">
        <x:v>20</x:v>
      </x:c>
      <x:c r="P775" s="43" t="n">
        <x:f>IF(COUNT(J775:O775)=0,"",SUM(J775:O775))</x:f>
        <x:v>460</x:v>
      </x:c>
      <x:c r="Q775" s="23" t="str">
        <x:v>4 lignes de spawn</x:v>
      </x:c>
      <x:c r="R775" s="23" t="str">
        <x:v>Il cache des Baies dans sa queue — tellement de Baies qu'elles tombent constamment. Mais ce Pokémon est un peu lent d'esprit, donc il ne remarque pas ces pertes.</x:v>
      </x:c>
      <x:c r="S775" s="23" t="str">
        <x:v>Égalité de fréquence; prix provisoire basé sur le palier le plus élevé.</x:v>
      </x:c>
      <x:c r="T775" s="23" t="str">
        <x:v>https://pixelmonmod.com/wiki/Greedent</x:v>
      </x:c>
    </x:row>
    <x:row r="776" ht="54" customHeight="1">
      <x:c r="A776" s="27" t="n">
        <x:v>821</x:v>
      </x:c>
      <x:c r="B776" s="23" t="str">
        <x:v>Minisange</x:v>
      </x:c>
      <x:c r="C776" s="23" t="str">
        <x:v>Rookidee</x:v>
      </x:c>
      <x:c r="D776" s="23" t="str">
        <x:v>Vol</x:v>
      </x:c>
      <x:c r="E776" s="23" t="str"/>
      <x:c r="F776" s="23" t="str">
        <x:v>Common</x:v>
      </x:c>
      <x:c r="G776" s="45" t="n">
        <x:v>2000</x:v>
      </x:c>
      <x:c r="H776" s="45" t="n">
        <x:f>IF(G776="","",ROUNDUP(G776*3,0))</x:f>
        <x:v>6000</x:v>
      </x:c>
      <x:c r="I776" s="41" t="n">
        <x:v>0.625</x:v>
      </x:c>
      <x:c r="J776" s="42" t="n">
        <x:v>38</x:v>
      </x:c>
      <x:c r="K776" s="42" t="n">
        <x:v>47</x:v>
      </x:c>
      <x:c r="L776" s="42" t="n">
        <x:v>35</x:v>
      </x:c>
      <x:c r="M776" s="42" t="n">
        <x:v>33</x:v>
      </x:c>
      <x:c r="N776" s="42" t="n">
        <x:v>35</x:v>
      </x:c>
      <x:c r="O776" s="42" t="n">
        <x:v>57</x:v>
      </x:c>
      <x:c r="P776" s="43" t="n">
        <x:f>IF(COUNT(J776:O776)=0,"",SUM(J776:O776))</x:f>
        <x:v>245</x:v>
      </x:c>
      <x:c r="Q776" s="23" t="str">
        <x:v>16 lignes de spawn</x:v>
      </x:c>
      <x:c r="R776" s="23" t="str">
        <x:v>Il défie courageusement n'importe quel adversaire, aussi puissant soit-il. Ce Pokémon tire profit de chaque combat, et même une défaite le renforce un peu.</x:v>
      </x:c>
      <x:c r="S776" s="23" t="str"/>
      <x:c r="T776" s="23" t="str">
        <x:v>https://pixelmonmod.com/wiki/Rookidee</x:v>
      </x:c>
    </x:row>
    <x:row r="777" ht="54" customHeight="1">
      <x:c r="A777" s="27" t="n">
        <x:v>822</x:v>
      </x:c>
      <x:c r="B777" s="23" t="str">
        <x:v>Bleuseille</x:v>
      </x:c>
      <x:c r="C777" s="23" t="str">
        <x:v>Corvisquire</x:v>
      </x:c>
      <x:c r="D777" s="23" t="str">
        <x:v>Vol</x:v>
      </x:c>
      <x:c r="E777" s="23" t="str"/>
      <x:c r="F777" s="23" t="str">
        <x:v>Uncommon</x:v>
      </x:c>
      <x:c r="G777" s="45" t="n">
        <x:v>5000</x:v>
      </x:c>
      <x:c r="H777" s="45" t="n">
        <x:f>IF(G777="","",ROUNDUP(G777*3,0))</x:f>
        <x:v>15000</x:v>
      </x:c>
      <x:c r="I777" s="41" t="n">
        <x:v>1</x:v>
      </x:c>
      <x:c r="J777" s="42" t="n">
        <x:v>68</x:v>
      </x:c>
      <x:c r="K777" s="42" t="n">
        <x:v>67</x:v>
      </x:c>
      <x:c r="L777" s="42" t="n">
        <x:v>55</x:v>
      </x:c>
      <x:c r="M777" s="42" t="n">
        <x:v>43</x:v>
      </x:c>
      <x:c r="N777" s="42" t="n">
        <x:v>55</x:v>
      </x:c>
      <x:c r="O777" s="42" t="n">
        <x:v>77</x:v>
      </x:c>
      <x:c r="P777" s="43" t="n">
        <x:f>IF(COUNT(J777:O777)=0,"",SUM(J777:O777))</x:f>
        <x:v>365</x:v>
      </x:c>
      <x:c r="Q777" s="23" t="str">
        <x:v>11 lignes de spawn</x:v>
      </x:c>
      <x:c r="R777" s="23" t="str">
        <x:v>Assez intelligent pour utiliser des outils en combat, on a vu ces Pokémon ramasser des pierres pour les lancer ou utiliser des cordes pour ligoter leurs ennemis.</x:v>
      </x:c>
      <x:c r="S777" s="23" t="str"/>
      <x:c r="T777" s="23" t="str">
        <x:v>https://pixelmonmod.com/wiki/Corvisquire</x:v>
      </x:c>
    </x:row>
    <x:row r="778" ht="54" customHeight="1">
      <x:c r="A778" s="27" t="n">
        <x:v>823</x:v>
      </x:c>
      <x:c r="B778" s="23" t="str">
        <x:v>Corvaillus</x:v>
      </x:c>
      <x:c r="C778" s="23" t="str">
        <x:v>Corviknight</x:v>
      </x:c>
      <x:c r="D778" s="23" t="str">
        <x:v>Vol</x:v>
      </x:c>
      <x:c r="E778" s="23" t="str">
        <x:v>Acier</x:v>
      </x:c>
      <x:c r="F778" s="23" t="str">
        <x:v>Ultra Rare</x:v>
      </x:c>
      <x:c r="G778" s="45" t="n">
        <x:v>75000</x:v>
      </x:c>
      <x:c r="H778" s="45" t="n">
        <x:f>IF(G778="","",ROUNDUP(G778*3,0))</x:f>
        <x:v>225000</x:v>
      </x:c>
      <x:c r="I778" s="41" t="n">
        <x:v>0.833</x:v>
      </x:c>
      <x:c r="J778" s="42" t="n">
        <x:v>98</x:v>
      </x:c>
      <x:c r="K778" s="42" t="n">
        <x:v>87</x:v>
      </x:c>
      <x:c r="L778" s="42" t="n">
        <x:v>105</x:v>
      </x:c>
      <x:c r="M778" s="42" t="n">
        <x:v>53</x:v>
      </x:c>
      <x:c r="N778" s="42" t="n">
        <x:v>85</x:v>
      </x:c>
      <x:c r="O778" s="42" t="n">
        <x:v>67</x:v>
      </x:c>
      <x:c r="P778" s="43" t="n">
        <x:f>IF(COUNT(J778:O778)=0,"",SUM(J778:O778))</x:f>
        <x:v>495</x:v>
      </x:c>
      <x:c r="Q778" s="23" t="str">
        <x:v>6 lignes de spawn</x:v>
      </x:c>
      <x:c r="R778" s="23" t="str">
        <x:v>Ce Pokémon règne en maître dans les cieux de Galar. La lueur noire de son corps d'acier peut glacer d'effroi n'importe quel ennemi.</x:v>
      </x:c>
      <x:c r="S778" s="23" t="str"/>
      <x:c r="T778" s="23" t="str">
        <x:v>https://pixelmonmod.com/wiki/Corviknight</x:v>
      </x:c>
    </x:row>
    <x:row r="779" ht="54" customHeight="1">
      <x:c r="A779" s="27" t="n">
        <x:v>824</x:v>
      </x:c>
      <x:c r="B779" s="23" t="str">
        <x:v>Larvadar</x:v>
      </x:c>
      <x:c r="C779" s="23" t="str">
        <x:v>Blipbug</x:v>
      </x:c>
      <x:c r="D779" s="23" t="str">
        <x:v>Insecte</x:v>
      </x:c>
      <x:c r="E779" s="23" t="str"/>
      <x:c r="F779" s="23" t="str">
        <x:v>Common</x:v>
      </x:c>
      <x:c r="G779" s="45" t="n">
        <x:v>2000</x:v>
      </x:c>
      <x:c r="H779" s="45" t="n">
        <x:f>IF(G779="","",ROUNDUP(G779*3,0))</x:f>
        <x:v>6000</x:v>
      </x:c>
      <x:c r="I779" s="41" t="n">
        <x:v>0.5</x:v>
      </x:c>
      <x:c r="J779" s="42" t="n">
        <x:v>25</x:v>
      </x:c>
      <x:c r="K779" s="42" t="n">
        <x:v>20</x:v>
      </x:c>
      <x:c r="L779" s="42" t="n">
        <x:v>20</x:v>
      </x:c>
      <x:c r="M779" s="42" t="n">
        <x:v>25</x:v>
      </x:c>
      <x:c r="N779" s="42" t="n">
        <x:v>45</x:v>
      </x:c>
      <x:c r="O779" s="42" t="n">
        <x:v>45</x:v>
      </x:c>
      <x:c r="P779" s="43" t="n">
        <x:f>IF(COUNT(J779:O779)=0,"",SUM(J779:O779))</x:f>
        <x:v>180</x:v>
      </x:c>
      <x:c r="Q779" s="23" t="str">
        <x:v>6 lignes de spawn</x:v>
      </x:c>
      <x:c r="R779" s="23" t="str">
        <x:v>Collectionneur d'informations infatigable, ce Pokémon est très intelligent. La force, en revanche, n'est vraiment pas son point fort.</x:v>
      </x:c>
      <x:c r="S779" s="23" t="str"/>
      <x:c r="T779" s="23" t="str">
        <x:v>https://pixelmonmod.com/wiki/Blipbug</x:v>
      </x:c>
    </x:row>
    <x:row r="780" ht="54" customHeight="1">
      <x:c r="A780" s="27" t="n">
        <x:v>825</x:v>
      </x:c>
      <x:c r="B780" s="23" t="str">
        <x:v>Coléodôme</x:v>
      </x:c>
      <x:c r="C780" s="23" t="str">
        <x:v>Dottler</x:v>
      </x:c>
      <x:c r="D780" s="23" t="str">
        <x:v>Insecte</x:v>
      </x:c>
      <x:c r="E780" s="23" t="str">
        <x:v>Psy</x:v>
      </x:c>
      <x:c r="F780" s="23" t="str">
        <x:v>Rare</x:v>
      </x:c>
      <x:c r="G780" s="45" t="n">
        <x:v>12000</x:v>
      </x:c>
      <x:c r="H780" s="45" t="n">
        <x:f>IF(G780="","",ROUNDUP(G780*3,0))</x:f>
        <x:v>36000</x:v>
      </x:c>
      <x:c r="I780" s="41" t="n">
        <x:v>0.6</x:v>
      </x:c>
      <x:c r="J780" s="42" t="n">
        <x:v>50</x:v>
      </x:c>
      <x:c r="K780" s="42" t="n">
        <x:v>35</x:v>
      </x:c>
      <x:c r="L780" s="42" t="n">
        <x:v>80</x:v>
      </x:c>
      <x:c r="M780" s="42" t="n">
        <x:v>50</x:v>
      </x:c>
      <x:c r="N780" s="42" t="n">
        <x:v>90</x:v>
      </x:c>
      <x:c r="O780" s="42" t="n">
        <x:v>30</x:v>
      </x:c>
      <x:c r="P780" s="43" t="n">
        <x:f>IF(COUNT(J780:O780)=0,"",SUM(J780:O780))</x:f>
        <x:v>335</x:v>
      </x:c>
      <x:c r="Q780" s="23" t="str">
        <x:v>5 lignes de spawn</x:v>
      </x:c>
      <x:c r="R780" s="23" t="str">
        <x:v>Il bouge à peine, mais est bien vivant. Se cacher dans sa coquille sans eau ni nourriture semble avoir éveillé ses pouvoirs psychiques.</x:v>
      </x:c>
      <x:c r="S780" s="23" t="str"/>
      <x:c r="T780" s="23" t="str">
        <x:v>https://pixelmonmod.com/wiki/Dottler</x:v>
      </x:c>
    </x:row>
    <x:row r="781" ht="54" customHeight="1">
      <x:c r="A781" s="27" t="n">
        <x:v>826</x:v>
      </x:c>
      <x:c r="B781" s="23" t="str">
        <x:v>Astronelle</x:v>
      </x:c>
      <x:c r="C781" s="23" t="str">
        <x:v>Orbeetle</x:v>
      </x:c>
      <x:c r="D781" s="23" t="str">
        <x:v>Insecte</x:v>
      </x:c>
      <x:c r="E781" s="23" t="str">
        <x:v>Psy</x:v>
      </x:c>
      <x:c r="F781" s="23" t="str">
        <x:v>Ultra Rare</x:v>
      </x:c>
      <x:c r="G781" s="45" t="n">
        <x:v>75000</x:v>
      </x:c>
      <x:c r="H781" s="45" t="n">
        <x:f>IF(G781="","",ROUNDUP(G781*3,0))</x:f>
        <x:v>225000</x:v>
      </x:c>
      <x:c r="I781" s="41" t="n">
        <x:v>1</x:v>
      </x:c>
      <x:c r="J781" s="42" t="n">
        <x:v>60</x:v>
      </x:c>
      <x:c r="K781" s="42" t="n">
        <x:v>45</x:v>
      </x:c>
      <x:c r="L781" s="42" t="n">
        <x:v>110</x:v>
      </x:c>
      <x:c r="M781" s="42" t="n">
        <x:v>80</x:v>
      </x:c>
      <x:c r="N781" s="42" t="n">
        <x:v>120</x:v>
      </x:c>
      <x:c r="O781" s="42" t="n">
        <x:v>90</x:v>
      </x:c>
      <x:c r="P781" s="43" t="n">
        <x:f>IF(COUNT(J781:O781)=0,"",SUM(J781:O781))</x:f>
        <x:v>505</x:v>
      </x:c>
      <x:c r="Q781" s="23" t="str">
        <x:v>3 lignes de spawn</x:v>
      </x:c>
      <x:c r="R781" s="23" t="str">
        <x:v>Il est célèbre pour son haut niveau d'intelligence, et la taille imposante de son cerveau prouve aussi qu'il possède d'immenses pouvoirs psychiques.</x:v>
      </x:c>
      <x:c r="S781" s="23" t="str"/>
      <x:c r="T781" s="23" t="str">
        <x:v>https://pixelmonmod.com/wiki/Orbeetle</x:v>
      </x:c>
    </x:row>
    <x:row r="782" ht="54" customHeight="1">
      <x:c r="A782" s="27" t="n">
        <x:v>827</x:v>
      </x:c>
      <x:c r="B782" s="23" t="str">
        <x:v>Goupilou</x:v>
      </x:c>
      <x:c r="C782" s="23" t="str">
        <x:v>Nickit</x:v>
      </x:c>
      <x:c r="D782" s="23" t="str">
        <x:v>Ténèbres</x:v>
      </x:c>
      <x:c r="E782" s="23" t="str"/>
      <x:c r="F782" s="23" t="str">
        <x:v>Rare</x:v>
      </x:c>
      <x:c r="G782" s="45" t="n">
        <x:v>12000</x:v>
      </x:c>
      <x:c r="H782" s="45" t="n">
        <x:f>IF(G782="","",ROUNDUP(G782*3,0))</x:f>
        <x:v>36000</x:v>
      </x:c>
      <x:c r="I782" s="41" t="n">
        <x:v>1</x:v>
      </x:c>
      <x:c r="J782" s="42" t="n">
        <x:v>40</x:v>
      </x:c>
      <x:c r="K782" s="42" t="n">
        <x:v>28</x:v>
      </x:c>
      <x:c r="L782" s="42" t="n">
        <x:v>28</x:v>
      </x:c>
      <x:c r="M782" s="42" t="n">
        <x:v>47</x:v>
      </x:c>
      <x:c r="N782" s="42" t="n">
        <x:v>52</x:v>
      </x:c>
      <x:c r="O782" s="42" t="n">
        <x:v>50</x:v>
      </x:c>
      <x:c r="P782" s="43" t="n">
        <x:f>IF(COUNT(J782:O782)=0,"",SUM(J782:O782))</x:f>
        <x:v>245</x:v>
      </x:c>
      <x:c r="Q782" s="23" t="str">
        <x:v>4 lignes de spawn</x:v>
      </x:c>
      <x:c r="R782" s="23" t="str">
        <x:v>Grâce aux coussinets souples de ses pattes, il pille silencieusement les réserves de nourriture d'autres Pokémon. Il survit en profitant de ses larcins.</x:v>
      </x:c>
      <x:c r="S782" s="23" t="str"/>
      <x:c r="T782" s="23" t="str">
        <x:v>https://pixelmonmod.com/wiki/Nickit</x:v>
      </x:c>
    </x:row>
    <x:row r="783" ht="54" customHeight="1">
      <x:c r="A783" s="27" t="n">
        <x:v>828</x:v>
      </x:c>
      <x:c r="B783" s="23" t="str">
        <x:v>Roublenard</x:v>
      </x:c>
      <x:c r="C783" s="23" t="str">
        <x:v>Thievul</x:v>
      </x:c>
      <x:c r="D783" s="23" t="str">
        <x:v>Ténèbres</x:v>
      </x:c>
      <x:c r="E783" s="23" t="str"/>
      <x:c r="F783" s="23" t="str">
        <x:v>Ultra Rare</x:v>
      </x:c>
      <x:c r="G783" s="45" t="n">
        <x:v>75000</x:v>
      </x:c>
      <x:c r="H783" s="45" t="n">
        <x:f>IF(G783="","",ROUNDUP(G783*3,0))</x:f>
        <x:v>225000</x:v>
      </x:c>
      <x:c r="I783" s="41" t="n">
        <x:v>1</x:v>
      </x:c>
      <x:c r="J783" s="42" t="n">
        <x:v>70</x:v>
      </x:c>
      <x:c r="K783" s="42" t="n">
        <x:v>58</x:v>
      </x:c>
      <x:c r="L783" s="42" t="n">
        <x:v>58</x:v>
      </x:c>
      <x:c r="M783" s="42" t="n">
        <x:v>87</x:v>
      </x:c>
      <x:c r="N783" s="42" t="n">
        <x:v>92</x:v>
      </x:c>
      <x:c r="O783" s="42" t="n">
        <x:v>90</x:v>
      </x:c>
      <x:c r="P783" s="43" t="n">
        <x:f>IF(COUNT(J783:O783)=0,"",SUM(J783:O783))</x:f>
        <x:v>455</x:v>
      </x:c>
      <x:c r="Q783" s="23" t="str">
        <x:v>4 lignes de spawn</x:v>
      </x:c>
      <x:c r="R783" s="23" t="str">
        <x:v>Il marque secrètement ses cibles potentielles d'une odeur. En suivant cette trace, il les piste et les vole lorsqu'elles s'y attendent le moins.</x:v>
      </x:c>
      <x:c r="S783" s="23" t="str"/>
      <x:c r="T783" s="23" t="str">
        <x:v>https://pixelmonmod.com/wiki/Thievul</x:v>
      </x:c>
    </x:row>
    <x:row r="784" ht="54" customHeight="1">
      <x:c r="A784" s="27" t="n">
        <x:v>829</x:v>
      </x:c>
      <x:c r="B784" s="23" t="str">
        <x:v>Tournicoton</x:v>
      </x:c>
      <x:c r="C784" s="23" t="str">
        <x:v>Gossifleur</x:v>
      </x:c>
      <x:c r="D784" s="23" t="str">
        <x:v>Plante</x:v>
      </x:c>
      <x:c r="E784" s="23" t="str"/>
      <x:c r="F784" s="23" t="str">
        <x:v>Uncommon</x:v>
      </x:c>
      <x:c r="G784" s="45" t="n">
        <x:v>5000</x:v>
      </x:c>
      <x:c r="H784" s="45" t="n">
        <x:f>IF(G784="","",ROUNDUP(G784*3,0))</x:f>
        <x:v>15000</x:v>
      </x:c>
      <x:c r="I784" s="41" t="n">
        <x:v>1</x:v>
      </x:c>
      <x:c r="J784" s="42" t="n">
        <x:v>40</x:v>
      </x:c>
      <x:c r="K784" s="42" t="n">
        <x:v>40</x:v>
      </x:c>
      <x:c r="L784" s="42" t="n">
        <x:v>60</x:v>
      </x:c>
      <x:c r="M784" s="42" t="n">
        <x:v>40</x:v>
      </x:c>
      <x:c r="N784" s="42" t="n">
        <x:v>60</x:v>
      </x:c>
      <x:c r="O784" s="42" t="n">
        <x:v>10</x:v>
      </x:c>
      <x:c r="P784" s="43" t="n">
        <x:f>IF(COUNT(J784:O784)=0,"",SUM(J784:O784))</x:f>
        <x:v>250</x:v>
      </x:c>
      <x:c r="Q784" s="23" t="str">
        <x:v>2 lignes de spawn</x:v>
      </x:c>
      <x:c r="R784" s="23" t="str">
        <x:v>Il s'ancre dans le sol avec sa patte unique, puis se prélasse au soleil. Après avoir absorbé assez de lumière, ses pétales s'ouvrent lorsqu'il éclot brillamment.</x:v>
      </x:c>
      <x:c r="S784" s="23" t="str"/>
      <x:c r="T784" s="23" t="str">
        <x:v>https://pixelmonmod.com/wiki/Gossifleur</x:v>
      </x:c>
    </x:row>
    <x:row r="785" ht="54" customHeight="1">
      <x:c r="A785" s="27" t="n">
        <x:v>830</x:v>
      </x:c>
      <x:c r="B785" s="23" t="str">
        <x:v>Blancoton</x:v>
      </x:c>
      <x:c r="C785" s="23" t="str">
        <x:v>Eldegoss</x:v>
      </x:c>
      <x:c r="D785" s="23" t="str">
        <x:v>Plante</x:v>
      </x:c>
      <x:c r="E785" s="23" t="str"/>
      <x:c r="F785" s="23" t="str">
        <x:v>Ultra Rare</x:v>
      </x:c>
      <x:c r="G785" s="45" t="n">
        <x:v>75000</x:v>
      </x:c>
      <x:c r="H785" s="45" t="n">
        <x:f>IF(G785="","",ROUNDUP(G785*3,0))</x:f>
        <x:v>225000</x:v>
      </x:c>
      <x:c r="I785" s="41" t="n">
        <x:v>1</x:v>
      </x:c>
      <x:c r="J785" s="42" t="n">
        <x:v>60</x:v>
      </x:c>
      <x:c r="K785" s="42" t="n">
        <x:v>50</x:v>
      </x:c>
      <x:c r="L785" s="42" t="n">
        <x:v>90</x:v>
      </x:c>
      <x:c r="M785" s="42" t="n">
        <x:v>80</x:v>
      </x:c>
      <x:c r="N785" s="42" t="n">
        <x:v>120</x:v>
      </x:c>
      <x:c r="O785" s="42" t="n">
        <x:v>60</x:v>
      </x:c>
      <x:c r="P785" s="43" t="n">
        <x:f>IF(COUNT(J785:O785)=0,"",SUM(J785:O785))</x:f>
        <x:v>460</x:v>
      </x:c>
      <x:c r="Q785" s="23" t="str">
        <x:v>2 lignes de spawn</x:v>
      </x:c>
      <x:c r="R785" s="23" t="str">
        <x:v>Les graines nichées dans sa bourre cotonneuse regorgent de nutriments. Il les disperse au vent pour que les plantes et autres Pokémon en profitent.</x:v>
      </x:c>
      <x:c r="S785" s="23" t="str"/>
      <x:c r="T785" s="23" t="str">
        <x:v>https://pixelmonmod.com/wiki/Eldegoss</x:v>
      </x:c>
    </x:row>
    <x:row r="786" ht="54" customHeight="1">
      <x:c r="A786" s="27" t="n">
        <x:v>831</x:v>
      </x:c>
      <x:c r="B786" s="23" t="str">
        <x:v>Moumouflon</x:v>
      </x:c>
      <x:c r="C786" s="23" t="str">
        <x:v>Wooloo</x:v>
      </x:c>
      <x:c r="D786" s="23" t="str">
        <x:v>Normal</x:v>
      </x:c>
      <x:c r="E786" s="23" t="str"/>
      <x:c r="F786" s="23" t="str">
        <x:v>Uncommon</x:v>
      </x:c>
      <x:c r="G786" s="45" t="n">
        <x:v>5000</x:v>
      </x:c>
      <x:c r="H786" s="45" t="n">
        <x:f>IF(G786="","",ROUNDUP(G786*3,0))</x:f>
        <x:v>15000</x:v>
      </x:c>
      <x:c r="I786" s="41" t="n">
        <x:v>1</x:v>
      </x:c>
      <x:c r="J786" s="42" t="n">
        <x:v>42</x:v>
      </x:c>
      <x:c r="K786" s="42" t="n">
        <x:v>40</x:v>
      </x:c>
      <x:c r="L786" s="42" t="n">
        <x:v>55</x:v>
      </x:c>
      <x:c r="M786" s="42" t="n">
        <x:v>40</x:v>
      </x:c>
      <x:c r="N786" s="42" t="n">
        <x:v>45</x:v>
      </x:c>
      <x:c r="O786" s="42" t="n">
        <x:v>48</x:v>
      </x:c>
      <x:c r="P786" s="43" t="n">
        <x:f>IF(COUNT(J786:O786)=0,"",SUM(J786:O786))</x:f>
        <x:v>270</x:v>
      </x:c>
      <x:c r="Q786" s="23" t="str">
        <x:v>2 lignes de spawn</x:v>
      </x:c>
      <x:c r="R786" s="23" t="str">
        <x:v>Sa laine bouclée amortit si bien les chocs que ce Pokémon peut tomber d'une falaise et se relever indemne au fond.</x:v>
      </x:c>
      <x:c r="S786" s="23" t="str"/>
      <x:c r="T786" s="23" t="str">
        <x:v>https://pixelmonmod.com/wiki/Wooloo</x:v>
      </x:c>
    </x:row>
    <x:row r="787" ht="54" customHeight="1">
      <x:c r="A787" s="27" t="n">
        <x:v>832</x:v>
      </x:c>
      <x:c r="B787" s="23" t="str">
        <x:v>Moumouflon</x:v>
      </x:c>
      <x:c r="C787" s="23" t="str">
        <x:v>Dubwool</x:v>
      </x:c>
      <x:c r="D787" s="23" t="str">
        <x:v>Normal</x:v>
      </x:c>
      <x:c r="E787" s="23" t="str"/>
      <x:c r="F787" s="23" t="str">
        <x:v>Ultra Rare</x:v>
      </x:c>
      <x:c r="G787" s="45" t="n">
        <x:v>75000</x:v>
      </x:c>
      <x:c r="H787" s="45" t="n">
        <x:f>IF(G787="","",ROUNDUP(G787*3,0))</x:f>
        <x:v>225000</x:v>
      </x:c>
      <x:c r="I787" s="41" t="n">
        <x:v>1</x:v>
      </x:c>
      <x:c r="J787" s="42" t="n">
        <x:v>72</x:v>
      </x:c>
      <x:c r="K787" s="42" t="n">
        <x:v>80</x:v>
      </x:c>
      <x:c r="L787" s="42" t="n">
        <x:v>100</x:v>
      </x:c>
      <x:c r="M787" s="42" t="n">
        <x:v>60</x:v>
      </x:c>
      <x:c r="N787" s="42" t="n">
        <x:v>90</x:v>
      </x:c>
      <x:c r="O787" s="42" t="n">
        <x:v>88</x:v>
      </x:c>
      <x:c r="P787" s="43" t="n">
        <x:f>IF(COUNT(J787:O787)=0,"",SUM(J787:O787))</x:f>
        <x:v>490</x:v>
      </x:c>
      <x:c r="Q787" s="23" t="str">
        <x:v>2 lignes de spawn</x:v>
      </x:c>
      <x:c r="R787" s="23" t="str">
        <x:v>Tisser un tapis avec sa laine rebondissante donne quelque chose qui ressemble à un trampoline. Vous commencerez à bondir dès que vous poserez le pied dessus.</x:v>
      </x:c>
      <x:c r="S787" s="23" t="str"/>
      <x:c r="T787" s="23" t="str">
        <x:v>https://pixelmonmod.com/wiki/Dubwool</x:v>
      </x:c>
    </x:row>
    <x:row r="788" ht="54" customHeight="1">
      <x:c r="A788" s="27" t="n">
        <x:v>833</x:v>
      </x:c>
      <x:c r="B788" s="23" t="str">
        <x:v>Khélocrok</x:v>
      </x:c>
      <x:c r="C788" s="23" t="str">
        <x:v>Chewtle</x:v>
      </x:c>
      <x:c r="D788" s="23" t="str">
        <x:v>Eau</x:v>
      </x:c>
      <x:c r="E788" s="23" t="str"/>
      <x:c r="F788" s="23" t="str">
        <x:v>Uncommon</x:v>
      </x:c>
      <x:c r="G788" s="45" t="n">
        <x:v>5000</x:v>
      </x:c>
      <x:c r="H788" s="45" t="n">
        <x:f>IF(G788="","",ROUNDUP(G788*3,0))</x:f>
        <x:v>15000</x:v>
      </x:c>
      <x:c r="I788" s="41" t="n">
        <x:v>1</x:v>
      </x:c>
      <x:c r="J788" s="42" t="n">
        <x:v>50</x:v>
      </x:c>
      <x:c r="K788" s="42" t="n">
        <x:v>64</x:v>
      </x:c>
      <x:c r="L788" s="42" t="n">
        <x:v>50</x:v>
      </x:c>
      <x:c r="M788" s="42" t="n">
        <x:v>38</x:v>
      </x:c>
      <x:c r="N788" s="42" t="n">
        <x:v>38</x:v>
      </x:c>
      <x:c r="O788" s="42" t="n">
        <x:v>44</x:v>
      </x:c>
      <x:c r="P788" s="43" t="n">
        <x:f>IF(COUNT(J788:O788)=0,"",SUM(J788:O788))</x:f>
        <x:v>284</x:v>
      </x:c>
      <x:c r="Q788" s="23" t="str">
        <x:v>13 lignes de spawn</x:v>
      </x:c>
      <x:c r="R788" s="23" t="str">
        <x:v>Apparemment, les démangeaisons liées à la pousse de ses dents l'incitent à claquer des mâchoires sur tout ce qui se trouve devant lui.</x:v>
      </x:c>
      <x:c r="S788" s="23" t="str"/>
      <x:c r="T788" s="23" t="str">
        <x:v>https://pixelmonmod.com/wiki/Chewtle</x:v>
      </x:c>
    </x:row>
    <x:row r="789" ht="54" customHeight="1">
      <x:c r="A789" s="27" t="n">
        <x:v>834</x:v>
      </x:c>
      <x:c r="B789" s="23" t="str">
        <x:v>Torgamord</x:v>
      </x:c>
      <x:c r="C789" s="23" t="str">
        <x:v>Drednaw</x:v>
      </x:c>
      <x:c r="D789" s="23" t="str">
        <x:v>Eau</x:v>
      </x:c>
      <x:c r="E789" s="23" t="str">
        <x:v>Roche</x:v>
      </x:c>
      <x:c r="F789" s="23" t="str">
        <x:v>Very Rare</x:v>
      </x:c>
      <x:c r="G789" s="45" t="n">
        <x:v>30000</x:v>
      </x:c>
      <x:c r="H789" s="45" t="n">
        <x:f>IF(G789="","",ROUNDUP(G789*3,0))</x:f>
        <x:v>90000</x:v>
      </x:c>
      <x:c r="I789" s="41" t="n">
        <x:v>0.467</x:v>
      </x:c>
      <x:c r="J789" s="42" t="n">
        <x:v>90</x:v>
      </x:c>
      <x:c r="K789" s="42" t="n">
        <x:v>115</x:v>
      </x:c>
      <x:c r="L789" s="42" t="n">
        <x:v>90</x:v>
      </x:c>
      <x:c r="M789" s="42" t="n">
        <x:v>48</x:v>
      </x:c>
      <x:c r="N789" s="42" t="n">
        <x:v>68</x:v>
      </x:c>
      <x:c r="O789" s="42" t="n">
        <x:v>74</x:v>
      </x:c>
      <x:c r="P789" s="43" t="n">
        <x:f>IF(COUNT(J789:O789)=0,"",SUM(J789:O789))</x:f>
        <x:v>485</x:v>
      </x:c>
      <x:c r="Q789" s="23" t="str">
        <x:v>15 lignes de spawn</x:v>
      </x:c>
      <x:c r="R789" s="23" t="str">
        <x:v>Ses mâchoires peuvent sectionner des barres d'acier. Très agressif, ce Pokémon mord férocement ses malchanceuses proies.</x:v>
      </x:c>
      <x:c r="S789" s="23" t="str">
        <x:v>Very Rare aligné sur le palier Super Rare (provisoire).</x:v>
      </x:c>
      <x:c r="T789" s="23" t="str">
        <x:v>https://pixelmonmod.com/wiki/Drednaw</x:v>
      </x:c>
    </x:row>
    <x:row r="790" ht="54" customHeight="1">
      <x:c r="A790" s="27" t="n">
        <x:v>835</x:v>
      </x:c>
      <x:c r="B790" s="23" t="str">
        <x:v>Voltoutou</x:v>
      </x:c>
      <x:c r="C790" s="23" t="str">
        <x:v>Yamper</x:v>
      </x:c>
      <x:c r="D790" s="23" t="str">
        <x:v>Électrik</x:v>
      </x:c>
      <x:c r="E790" s="23" t="str"/>
      <x:c r="F790" s="23" t="str">
        <x:v>Common / Uncommon / Very Rare</x:v>
      </x:c>
      <x:c r="G790" s="45" t="n">
        <x:v>30000</x:v>
      </x:c>
      <x:c r="H790" s="45" t="n">
        <x:f>IF(G790="","",ROUNDUP(G790*3,0))</x:f>
        <x:v>90000</x:v>
      </x:c>
      <x:c r="I790" s="41" t="n">
        <x:v>0.33299999999999996</x:v>
      </x:c>
      <x:c r="J790" s="42" t="n">
        <x:v>59</x:v>
      </x:c>
      <x:c r="K790" s="42" t="n">
        <x:v>45</x:v>
      </x:c>
      <x:c r="L790" s="42" t="n">
        <x:v>50</x:v>
      </x:c>
      <x:c r="M790" s="42" t="n">
        <x:v>40</x:v>
      </x:c>
      <x:c r="N790" s="42" t="n">
        <x:v>50</x:v>
      </x:c>
      <x:c r="O790" s="42" t="n">
        <x:v>26</x:v>
      </x:c>
      <x:c r="P790" s="43" t="n">
        <x:f>IF(COUNT(J790:O790)=0,"",SUM(J790:O790))</x:f>
        <x:v>270</x:v>
      </x:c>
      <x:c r="Q790" s="23" t="str">
        <x:v>3 lignes de spawn</x:v>
      </x:c>
      <x:c r="R790" s="23" t="str">
        <x:v>Ce Pokémon est très apprécié comme chien de berger dans la région de Galar. Lorsqu'il court, il génère de l'électricité à la base de sa queue.</x:v>
      </x:c>
      <x:c r="S790" s="23" t="str">
        <x:v>Égalité de fréquence; prix provisoire basé sur le palier le plus élevé. Very Rare aligné sur le palier Super Rare (provisoire).</x:v>
      </x:c>
      <x:c r="T790" s="23" t="str">
        <x:v>https://pixelmonmod.com/wiki/Yamper</x:v>
      </x:c>
    </x:row>
    <x:row r="791" ht="54" customHeight="1">
      <x:c r="A791" s="27" t="n">
        <x:v>836</x:v>
      </x:c>
      <x:c r="B791" s="23" t="str">
        <x:v>Fulgudog</x:v>
      </x:c>
      <x:c r="C791" s="23" t="str">
        <x:v>Boltund</x:v>
      </x:c>
      <x:c r="D791" s="23" t="str">
        <x:v>Électrik</x:v>
      </x:c>
      <x:c r="E791" s="23" t="str"/>
      <x:c r="F791" s="23" t="str">
        <x:v>Ultra Rare</x:v>
      </x:c>
      <x:c r="G791" s="45" t="n">
        <x:v>75000</x:v>
      </x:c>
      <x:c r="H791" s="45" t="n">
        <x:f>IF(G791="","",ROUNDUP(G791*3,0))</x:f>
        <x:v>225000</x:v>
      </x:c>
      <x:c r="I791" s="41" t="n">
        <x:v>0.667</x:v>
      </x:c>
      <x:c r="J791" s="42" t="n">
        <x:v>69</x:v>
      </x:c>
      <x:c r="K791" s="42" t="n">
        <x:v>90</x:v>
      </x:c>
      <x:c r="L791" s="42" t="n">
        <x:v>60</x:v>
      </x:c>
      <x:c r="M791" s="42" t="n">
        <x:v>90</x:v>
      </x:c>
      <x:c r="N791" s="42" t="n">
        <x:v>60</x:v>
      </x:c>
      <x:c r="O791" s="42" t="n">
        <x:v>121</x:v>
      </x:c>
      <x:c r="P791" s="43" t="n">
        <x:f>IF(COUNT(J791:O791)=0,"",SUM(J791:O791))</x:f>
        <x:v>490</x:v>
      </x:c>
      <x:c r="Q791" s="23" t="str">
        <x:v>3 lignes de spawn</x:v>
      </x:c>
      <x:c r="R791" s="23" t="str">
        <x:v>Ce Pokémon génère de l'électricité et la canalise dans ses pattes pour maintenir leur vigueur. Fulgudog peut courir sans s'arrêter pendant trois jours entiers.</x:v>
      </x:c>
      <x:c r="S791" s="23" t="str"/>
      <x:c r="T791" s="23" t="str">
        <x:v>https://pixelmonmod.com/wiki/Boltund</x:v>
      </x:c>
    </x:row>
    <x:row r="792" ht="54" customHeight="1">
      <x:c r="A792" s="27" t="n">
        <x:v>837</x:v>
      </x:c>
      <x:c r="B792" s="23" t="str">
        <x:v>Charbi</x:v>
      </x:c>
      <x:c r="C792" s="23" t="str">
        <x:v>Rolycoly</x:v>
      </x:c>
      <x:c r="D792" s="23" t="str">
        <x:v>Roche</x:v>
      </x:c>
      <x:c r="E792" s="23" t="str"/>
      <x:c r="F792" s="23" t="str">
        <x:v>Uncommon</x:v>
      </x:c>
      <x:c r="G792" s="45" t="n">
        <x:v>5000</x:v>
      </x:c>
      <x:c r="H792" s="45" t="n">
        <x:f>IF(G792="","",ROUNDUP(G792*3,0))</x:f>
        <x:v>15000</x:v>
      </x:c>
      <x:c r="I792" s="41" t="n">
        <x:v>0.727</x:v>
      </x:c>
      <x:c r="J792" s="42" t="n">
        <x:v>30</x:v>
      </x:c>
      <x:c r="K792" s="42" t="n">
        <x:v>40</x:v>
      </x:c>
      <x:c r="L792" s="42" t="n">
        <x:v>50</x:v>
      </x:c>
      <x:c r="M792" s="42" t="n">
        <x:v>40</x:v>
      </x:c>
      <x:c r="N792" s="42" t="n">
        <x:v>50</x:v>
      </x:c>
      <x:c r="O792" s="42" t="n">
        <x:v>30</x:v>
      </x:c>
      <x:c r="P792" s="43" t="n">
        <x:f>IF(COUNT(J792:O792)=0,"",SUM(J792:O792))</x:f>
        <x:v>240</x:v>
      </x:c>
      <x:c r="Q792" s="23" t="str">
        <x:v>22 lignes de spawn</x:v>
      </x:c>
      <x:c r="R792" s="23" t="str">
        <x:v>La majeure partie de son corps possède la même composition que le charbon. Ce Pokémon fut d'ailleurs découvert dans des mines de charbon il y a environ 400 ans.</x:v>
      </x:c>
      <x:c r="S792" s="23" t="str"/>
      <x:c r="T792" s="23" t="str">
        <x:v>https://pixelmonmod.com/wiki/Rolycoly</x:v>
      </x:c>
    </x:row>
    <x:row r="793" ht="54" customHeight="1">
      <x:c r="A793" s="27" t="n">
        <x:v>838</x:v>
      </x:c>
      <x:c r="B793" s="23" t="str">
        <x:v>Wagomine</x:v>
      </x:c>
      <x:c r="C793" s="23" t="str">
        <x:v>Carkol</x:v>
      </x:c>
      <x:c r="D793" s="23" t="str">
        <x:v>Roche</x:v>
      </x:c>
      <x:c r="E793" s="23" t="str">
        <x:v>Feu</x:v>
      </x:c>
      <x:c r="F793" s="23" t="str">
        <x:v>Rare</x:v>
      </x:c>
      <x:c r="G793" s="45" t="n">
        <x:v>12000</x:v>
      </x:c>
      <x:c r="H793" s="45" t="n">
        <x:f>IF(G793="","",ROUNDUP(G793*3,0))</x:f>
        <x:v>36000</x:v>
      </x:c>
      <x:c r="I793" s="41" t="n">
        <x:v>1</x:v>
      </x:c>
      <x:c r="J793" s="42" t="n">
        <x:v>80</x:v>
      </x:c>
      <x:c r="K793" s="42" t="n">
        <x:v>60</x:v>
      </x:c>
      <x:c r="L793" s="42" t="n">
        <x:v>90</x:v>
      </x:c>
      <x:c r="M793" s="42" t="n">
        <x:v>60</x:v>
      </x:c>
      <x:c r="N793" s="42" t="n">
        <x:v>70</x:v>
      </x:c>
      <x:c r="O793" s="42" t="n">
        <x:v>50</x:v>
      </x:c>
      <x:c r="P793" s="43" t="n">
        <x:f>IF(COUNT(J793:O793)=0,"",SUM(J793:O793))</x:f>
        <x:v>410</x:v>
      </x:c>
      <x:c r="Q793" s="23" t="str">
        <x:v>16 lignes de spawn</x:v>
      </x:c>
      <x:c r="R793" s="23" t="str">
        <x:v>Il forme du charbon dans son corps. Autrefois, le charbon qu'il laissait tomber servait de combustible aux habitants de Galar.</x:v>
      </x:c>
      <x:c r="S793" s="23" t="str"/>
      <x:c r="T793" s="23" t="str">
        <x:v>https://pixelmonmod.com/wiki/Carkol</x:v>
      </x:c>
    </x:row>
    <x:row r="794" ht="54" customHeight="1">
      <x:c r="A794" s="27" t="n">
        <x:v>839</x:v>
      </x:c>
      <x:c r="B794" s="23" t="str">
        <x:v>Monthracite</x:v>
      </x:c>
      <x:c r="C794" s="23" t="str">
        <x:v>Coalossal</x:v>
      </x:c>
      <x:c r="D794" s="23" t="str">
        <x:v>Roche</x:v>
      </x:c>
      <x:c r="E794" s="23" t="str">
        <x:v>Feu</x:v>
      </x:c>
      <x:c r="F794" s="23" t="str">
        <x:v>Non classé</x:v>
      </x:c>
      <x:c r="G794" s="45"/>
      <x:c r="H794" s="45" t="str">
        <x:f>IF(G794="","",ROUNDUP(G794*3,0))</x:f>
      </x:c>
      <x:c r="I794" s="41"/>
      <x:c r="J794" s="42" t="n">
        <x:v>110</x:v>
      </x:c>
      <x:c r="K794" s="42" t="n">
        <x:v>80</x:v>
      </x:c>
      <x:c r="L794" s="42" t="n">
        <x:v>120</x:v>
      </x:c>
      <x:c r="M794" s="42" t="n">
        <x:v>80</x:v>
      </x:c>
      <x:c r="N794" s="42" t="n">
        <x:v>90</x:v>
      </x:c>
      <x:c r="O794" s="42" t="n">
        <x:v>30</x:v>
      </x:c>
      <x:c r="P794" s="43" t="n">
        <x:f>IF(COUNT(J794:O794)=0,"",SUM(J794:O794))</x:f>
        <x:v>510</x:v>
      </x:c>
      <x:c r="Q794" s="23" t="str">
        <x:v>Aucune ligne classée</x:v>
      </x:c>
      <x:c r="R794" s="23" t="str">
        <x:v>Généralement pacifique, il entre dans une colère noire lorsqu'un site minier est vandalisé. Les coupables sont réduits en cendres par ses flammes, qui atteignent 1 500 °C.</x:v>
      </x:c>
      <x:c r="S794" s="23" t="str">
        <x:v>Aucune rareté wiki exploitable; prix à fixer.</x:v>
      </x:c>
      <x:c r="T794" s="23" t="str">
        <x:v>https://pixelmonmod.com/wiki/Coalossal</x:v>
      </x:c>
    </x:row>
    <x:row r="795" ht="54" customHeight="1">
      <x:c r="A795" s="27" t="n">
        <x:v>840</x:v>
      </x:c>
      <x:c r="B795" s="23" t="str">
        <x:v>Verpom</x:v>
      </x:c>
      <x:c r="C795" s="23" t="str">
        <x:v>Applin</x:v>
      </x:c>
      <x:c r="D795" s="23" t="str">
        <x:v>Plante</x:v>
      </x:c>
      <x:c r="E795" s="23" t="str">
        <x:v>Dragon</x:v>
      </x:c>
      <x:c r="F795" s="23" t="str">
        <x:v>Rare</x:v>
      </x:c>
      <x:c r="G795" s="45" t="n">
        <x:v>12000</x:v>
      </x:c>
      <x:c r="H795" s="45" t="n">
        <x:f>IF(G795="","",ROUNDUP(G795*3,0))</x:f>
        <x:v>36000</x:v>
      </x:c>
      <x:c r="I795" s="41" t="n">
        <x:v>0.857</x:v>
      </x:c>
      <x:c r="J795" s="42" t="n">
        <x:v>40</x:v>
      </x:c>
      <x:c r="K795" s="42" t="n">
        <x:v>40</x:v>
      </x:c>
      <x:c r="L795" s="42" t="n">
        <x:v>80</x:v>
      </x:c>
      <x:c r="M795" s="42" t="n">
        <x:v>40</x:v>
      </x:c>
      <x:c r="N795" s="42" t="n">
        <x:v>40</x:v>
      </x:c>
      <x:c r="O795" s="42" t="n">
        <x:v>20</x:v>
      </x:c>
      <x:c r="P795" s="43" t="n">
        <x:f>IF(COUNT(J795:O795)=0,"",SUM(J795:O795))</x:f>
        <x:v>260</x:v>
      </x:c>
      <x:c r="Q795" s="23" t="str">
        <x:v>7 lignes de spawn</x:v>
      </x:c>
      <x:c r="R795" s="23" t="str">
        <x:v>Il passe toute sa vie à l'intérieur d'une pomme. Pour échapper à ses prédateurs naturels, les Pokémon Oiseau, il fait semblant d'être un simple fruit.</x:v>
      </x:c>
      <x:c r="S795" s="23" t="str"/>
      <x:c r="T795" s="23" t="str">
        <x:v>https://pixelmonmod.com/wiki/Applin</x:v>
      </x:c>
    </x:row>
    <x:row r="796" ht="54" customHeight="1">
      <x:c r="A796" s="27" t="n">
        <x:v>841</x:v>
      </x:c>
      <x:c r="B796" s="23" t="str">
        <x:v>Pomdrapi</x:v>
      </x:c>
      <x:c r="C796" s="23" t="str">
        <x:v>Flapple</x:v>
      </x:c>
      <x:c r="D796" s="23" t="str">
        <x:v>Plante</x:v>
      </x:c>
      <x:c r="E796" s="23" t="str">
        <x:v>Dragon</x:v>
      </x:c>
      <x:c r="F796" s="23" t="str">
        <x:v>Very Rare / Ultra Rare</x:v>
      </x:c>
      <x:c r="G796" s="45" t="n">
        <x:v>75000</x:v>
      </x:c>
      <x:c r="H796" s="45" t="n">
        <x:f>IF(G796="","",ROUNDUP(G796*3,0))</x:f>
        <x:v>225000</x:v>
      </x:c>
      <x:c r="I796" s="41" t="n">
        <x:v>0.5</x:v>
      </x:c>
      <x:c r="J796" s="42" t="n">
        <x:v>70</x:v>
      </x:c>
      <x:c r="K796" s="42" t="n">
        <x:v>110</x:v>
      </x:c>
      <x:c r="L796" s="42" t="n">
        <x:v>80</x:v>
      </x:c>
      <x:c r="M796" s="42" t="n">
        <x:v>95</x:v>
      </x:c>
      <x:c r="N796" s="42" t="n">
        <x:v>60</x:v>
      </x:c>
      <x:c r="O796" s="42" t="n">
        <x:v>70</x:v>
      </x:c>
      <x:c r="P796" s="43" t="n">
        <x:f>IF(COUNT(J796:O796)=0,"",SUM(J796:O796))</x:f>
        <x:v>485</x:v>
      </x:c>
      <x:c r="Q796" s="23" t="str">
        <x:v>2 lignes de spawn</x:v>
      </x:c>
      <x:c r="R796" s="23" t="str">
        <x:v>Il a mangé une pomme acide, ce qui a déclenché son évolution. Ses joues contiennent un acide capable de provoquer des brûlures chimiques.</x:v>
      </x:c>
      <x:c r="S796" s="23" t="str">
        <x:v>Égalité de fréquence; prix provisoire basé sur le palier le plus élevé. Very Rare aligné sur le palier Super Rare (provisoire).</x:v>
      </x:c>
      <x:c r="T796" s="23" t="str">
        <x:v>https://pixelmonmod.com/wiki/Flapple</x:v>
      </x:c>
    </x:row>
    <x:row r="797" ht="54" customHeight="1">
      <x:c r="A797" s="27" t="n">
        <x:v>842</x:v>
      </x:c>
      <x:c r="B797" s="23" t="str">
        <x:v>Dratatin</x:v>
      </x:c>
      <x:c r="C797" s="23" t="str">
        <x:v>Appletun</x:v>
      </x:c>
      <x:c r="D797" s="23" t="str">
        <x:v>Plante</x:v>
      </x:c>
      <x:c r="E797" s="23" t="str">
        <x:v>Dragon</x:v>
      </x:c>
      <x:c r="F797" s="23" t="str">
        <x:v>Very Rare / Ultra Rare</x:v>
      </x:c>
      <x:c r="G797" s="45" t="n">
        <x:v>75000</x:v>
      </x:c>
      <x:c r="H797" s="45" t="n">
        <x:f>IF(G797="","",ROUNDUP(G797*3,0))</x:f>
        <x:v>225000</x:v>
      </x:c>
      <x:c r="I797" s="41" t="n">
        <x:v>0.5</x:v>
      </x:c>
      <x:c r="J797" s="42" t="n">
        <x:v>110</x:v>
      </x:c>
      <x:c r="K797" s="42" t="n">
        <x:v>85</x:v>
      </x:c>
      <x:c r="L797" s="42" t="n">
        <x:v>80</x:v>
      </x:c>
      <x:c r="M797" s="42" t="n">
        <x:v>100</x:v>
      </x:c>
      <x:c r="N797" s="42" t="n">
        <x:v>80</x:v>
      </x:c>
      <x:c r="O797" s="42" t="n">
        <x:v>30</x:v>
      </x:c>
      <x:c r="P797" s="43" t="n">
        <x:f>IF(COUNT(J797:O797)=0,"",SUM(J797:O797))</x:f>
        <x:v>485</x:v>
      </x:c>
      <x:c r="Q797" s="23" t="str">
        <x:v>2 lignes de spawn</x:v>
      </x:c>
      <x:c r="R797" s="23" t="str">
        <x:v>Manger une pomme sucrée a provoqué son évolution. Un doux parfum de nectar émane de son corps, attirant les Pokémon Insecte dont il se nourrit.</x:v>
      </x:c>
      <x:c r="S797" s="23" t="str">
        <x:v>Égalité de fréquence; prix provisoire basé sur le palier le plus élevé. Very Rare aligné sur le palier Super Rare (provisoire).</x:v>
      </x:c>
      <x:c r="T797" s="23" t="str">
        <x:v>https://pixelmonmod.com/wiki/Appletun</x:v>
      </x:c>
    </x:row>
    <x:row r="798" ht="54" customHeight="1">
      <x:c r="A798" s="27" t="n">
        <x:v>843</x:v>
      </x:c>
      <x:c r="B798" s="23" t="str">
        <x:v>Dunaja</x:v>
      </x:c>
      <x:c r="C798" s="23" t="str">
        <x:v>Silicobra</x:v>
      </x:c>
      <x:c r="D798" s="23" t="str">
        <x:v>Sol</x:v>
      </x:c>
      <x:c r="E798" s="23" t="str"/>
      <x:c r="F798" s="23" t="str">
        <x:v>Uncommon / Ultra Rare</x:v>
      </x:c>
      <x:c r="G798" s="45" t="n">
        <x:v>75000</x:v>
      </x:c>
      <x:c r="H798" s="45" t="n">
        <x:f>IF(G798="","",ROUNDUP(G798*3,0))</x:f>
        <x:v>225000</x:v>
      </x:c>
      <x:c r="I798" s="41" t="n">
        <x:v>0.5</x:v>
      </x:c>
      <x:c r="J798" s="42" t="n">
        <x:v>52</x:v>
      </x:c>
      <x:c r="K798" s="42" t="n">
        <x:v>57</x:v>
      </x:c>
      <x:c r="L798" s="42" t="n">
        <x:v>75</x:v>
      </x:c>
      <x:c r="M798" s="42" t="n">
        <x:v>35</x:v>
      </x:c>
      <x:c r="N798" s="42" t="n">
        <x:v>50</x:v>
      </x:c>
      <x:c r="O798" s="42" t="n">
        <x:v>46</x:v>
      </x:c>
      <x:c r="P798" s="43" t="n">
        <x:f>IF(COUNT(J798:O798)=0,"",SUM(J798:O798))</x:f>
        <x:v>315</x:v>
      </x:c>
      <x:c r="Q798" s="23" t="str">
        <x:v>4 lignes de spawn</x:v>
      </x:c>
      <x:c r="R798" s="23" t="str">
        <x:v>En creusant, il avale du sable et le stocke dans la poche située dans son cou. Celle-ci peut contenir plus de 8 kg de sable.</x:v>
      </x:c>
      <x:c r="S798" s="23" t="str">
        <x:v>Égalité de fréquence; prix provisoire basé sur le palier le plus élevé.</x:v>
      </x:c>
      <x:c r="T798" s="23" t="str">
        <x:v>https://pixelmonmod.com/wiki/Silicobra</x:v>
      </x:c>
    </x:row>
    <x:row r="799" ht="54" customHeight="1">
      <x:c r="A799" s="27" t="n">
        <x:v>844</x:v>
      </x:c>
      <x:c r="B799" s="23" t="str">
        <x:v>Dunaconda</x:v>
      </x:c>
      <x:c r="C799" s="23" t="str">
        <x:v>Sandaconda</x:v>
      </x:c>
      <x:c r="D799" s="23" t="str">
        <x:v>Sol</x:v>
      </x:c>
      <x:c r="E799" s="23" t="str"/>
      <x:c r="F799" s="23" t="str">
        <x:v>Ultra Rare</x:v>
      </x:c>
      <x:c r="G799" s="45" t="n">
        <x:v>75000</x:v>
      </x:c>
      <x:c r="H799" s="45" t="n">
        <x:f>IF(G799="","",ROUNDUP(G799*3,0))</x:f>
        <x:v>225000</x:v>
      </x:c>
      <x:c r="I799" s="41" t="n">
        <x:v>1</x:v>
      </x:c>
      <x:c r="J799" s="42" t="n">
        <x:v>72</x:v>
      </x:c>
      <x:c r="K799" s="42" t="n">
        <x:v>107</x:v>
      </x:c>
      <x:c r="L799" s="42" t="n">
        <x:v>125</x:v>
      </x:c>
      <x:c r="M799" s="42" t="n">
        <x:v>65</x:v>
      </x:c>
      <x:c r="N799" s="42" t="n">
        <x:v>70</x:v>
      </x:c>
      <x:c r="O799" s="42" t="n">
        <x:v>71</x:v>
      </x:c>
      <x:c r="P799" s="43" t="n">
        <x:f>IF(COUNT(J799:O799)=0,"",SUM(J799:O799))</x:f>
        <x:v>510</x:v>
      </x:c>
      <x:c r="Q799" s="23" t="str">
        <x:v>4 lignes de spawn</x:v>
      </x:c>
      <x:c r="R799" s="23" t="str">
        <x:v>En contractant son corps, plus de 100 kg de sable jaillissent de son nez. Lorsqu'il vient à manquer de sable, il perd toute motivation.</x:v>
      </x:c>
      <x:c r="S799" s="23" t="str"/>
      <x:c r="T799" s="23" t="str">
        <x:v>https://pixelmonmod.com/wiki/Sandaconda</x:v>
      </x:c>
    </x:row>
    <x:row r="800" ht="54" customHeight="1">
      <x:c r="A800" s="27" t="n">
        <x:v>845</x:v>
      </x:c>
      <x:c r="B800" s="23" t="str">
        <x:v>Nigosier</x:v>
      </x:c>
      <x:c r="C800" s="23" t="str">
        <x:v>Cramorant</x:v>
      </x:c>
      <x:c r="D800" s="23" t="str">
        <x:v>Vol</x:v>
      </x:c>
      <x:c r="E800" s="23" t="str">
        <x:v>Eau</x:v>
      </x:c>
      <x:c r="F800" s="23" t="str">
        <x:v>Rare</x:v>
      </x:c>
      <x:c r="G800" s="45" t="n">
        <x:v>12000</x:v>
      </x:c>
      <x:c r="H800" s="45" t="n">
        <x:f>IF(G800="","",ROUNDUP(G800*3,0))</x:f>
        <x:v>36000</x:v>
      </x:c>
      <x:c r="I800" s="41" t="n">
        <x:v>1</x:v>
      </x:c>
      <x:c r="J800" s="42" t="n">
        <x:v>70</x:v>
      </x:c>
      <x:c r="K800" s="42" t="n">
        <x:v>85</x:v>
      </x:c>
      <x:c r="L800" s="42" t="n">
        <x:v>55</x:v>
      </x:c>
      <x:c r="M800" s="42" t="n">
        <x:v>85</x:v>
      </x:c>
      <x:c r="N800" s="42" t="n">
        <x:v>95</x:v>
      </x:c>
      <x:c r="O800" s="42" t="n">
        <x:v>85</x:v>
      </x:c>
      <x:c r="P800" s="43" t="n">
        <x:f>IF(COUNT(J800:O800)=0,"",SUM(J800:O800))</x:f>
        <x:v>475</x:v>
      </x:c>
      <x:c r="Q800" s="23" t="str">
        <x:v>6 lignes de spawn</x:v>
      </x:c>
      <x:c r="R800" s="23" t="str">
        <x:v>Il est si puissant qu'il peut mettre certains adversaires K.O. d'un seul coup, mais il lui arrive aussi d'oublier ce qu'il affronte en plein combat.</x:v>
      </x:c>
      <x:c r="S800" s="23" t="str"/>
      <x:c r="T800" s="23" t="str">
        <x:v>https://pixelmonmod.com/wiki/Cramorant</x:v>
      </x:c>
    </x:row>
    <x:row r="801" ht="54" customHeight="1">
      <x:c r="A801" s="27" t="n">
        <x:v>846</x:v>
      </x:c>
      <x:c r="B801" s="23" t="str">
        <x:v>Embrochet</x:v>
      </x:c>
      <x:c r="C801" s="23" t="str">
        <x:v>Arrokuda</x:v>
      </x:c>
      <x:c r="D801" s="23" t="str">
        <x:v>Eau</x:v>
      </x:c>
      <x:c r="E801" s="23" t="str"/>
      <x:c r="F801" s="23" t="str">
        <x:v>Uncommon</x:v>
      </x:c>
      <x:c r="G801" s="45" t="n">
        <x:v>5000</x:v>
      </x:c>
      <x:c r="H801" s="45" t="n">
        <x:f>IF(G801="","",ROUNDUP(G801*3,0))</x:f>
        <x:v>15000</x:v>
      </x:c>
      <x:c r="I801" s="41" t="n">
        <x:v>1</x:v>
      </x:c>
      <x:c r="J801" s="42" t="n">
        <x:v>41</x:v>
      </x:c>
      <x:c r="K801" s="42" t="n">
        <x:v>63</x:v>
      </x:c>
      <x:c r="L801" s="42" t="n">
        <x:v>40</x:v>
      </x:c>
      <x:c r="M801" s="42" t="n">
        <x:v>40</x:v>
      </x:c>
      <x:c r="N801" s="42" t="n">
        <x:v>30</x:v>
      </x:c>
      <x:c r="O801" s="42" t="n">
        <x:v>66</x:v>
      </x:c>
      <x:c r="P801" s="43" t="n">
        <x:f>IF(COUNT(J801:O801)=0,"",SUM(J801:O801))</x:f>
        <x:v>280</x:v>
      </x:c>
      <x:c r="Q801" s="23" t="str">
        <x:v>25 lignes de spawn</x:v>
      </x:c>
      <x:c r="R801" s="23" t="str">
        <x:v>S'il voit le moindre mouvement, ce Pokémon fonce droit dessus, mené par sa mâchoire pointue dont il est très fier.</x:v>
      </x:c>
      <x:c r="S801" s="23" t="str"/>
      <x:c r="T801" s="23" t="str">
        <x:v>https://pixelmonmod.com/wiki/Arrokuda</x:v>
      </x:c>
    </x:row>
    <x:row r="802" ht="54" customHeight="1">
      <x:c r="A802" s="27" t="n">
        <x:v>847</x:v>
      </x:c>
      <x:c r="B802" s="23" t="str">
        <x:v>Hastacuda</x:v>
      </x:c>
      <x:c r="C802" s="23" t="str">
        <x:v>Barraskewda</x:v>
      </x:c>
      <x:c r="D802" s="23" t="str">
        <x:v>Eau</x:v>
      </x:c>
      <x:c r="E802" s="23" t="str"/>
      <x:c r="F802" s="23" t="str">
        <x:v>Rare</x:v>
      </x:c>
      <x:c r="G802" s="45" t="n">
        <x:v>12000</x:v>
      </x:c>
      <x:c r="H802" s="45" t="n">
        <x:f>IF(G802="","",ROUNDUP(G802*3,0))</x:f>
        <x:v>36000</x:v>
      </x:c>
      <x:c r="I802" s="41" t="n">
        <x:v>0.667</x:v>
      </x:c>
      <x:c r="J802" s="42" t="n">
        <x:v>61</x:v>
      </x:c>
      <x:c r="K802" s="42" t="n">
        <x:v>123</x:v>
      </x:c>
      <x:c r="L802" s="42" t="n">
        <x:v>60</x:v>
      </x:c>
      <x:c r="M802" s="42" t="n">
        <x:v>60</x:v>
      </x:c>
      <x:c r="N802" s="42" t="n">
        <x:v>50</x:v>
      </x:c>
      <x:c r="O802" s="42" t="n">
        <x:v>136</x:v>
      </x:c>
      <x:c r="P802" s="43" t="n">
        <x:f>IF(COUNT(J802:O802)=0,"",SUM(J802:O802))</x:f>
        <x:v>490</x:v>
      </x:c>
      <x:c r="Q802" s="23" t="str">
        <x:v>27 lignes de spawn</x:v>
      </x:c>
      <x:c r="R802" s="23" t="str">
        <x:v>Ce Pokémon possède une mâchoire aussi acérée qu'une lance et aussi solide que l'acier. Il paraît que la chair d'Hastacuda est étonnamment savoureuse, elle aussi.</x:v>
      </x:c>
      <x:c r="S802" s="23" t="str"/>
      <x:c r="T802" s="23" t="str">
        <x:v>https://pixelmonmod.com/wiki/Barraskewda</x:v>
      </x:c>
    </x:row>
    <x:row r="803" ht="54" customHeight="1">
      <x:c r="A803" s="27" t="n">
        <x:v>848</x:v>
      </x:c>
      <x:c r="B803" s="23" t="str">
        <x:v>Toxizap</x:v>
      </x:c>
      <x:c r="C803" s="23" t="str">
        <x:v>Toxel</x:v>
      </x:c>
      <x:c r="D803" s="23" t="str">
        <x:v>Électrik</x:v>
      </x:c>
      <x:c r="E803" s="23" t="str">
        <x:v>Poison</x:v>
      </x:c>
      <x:c r="F803" s="23" t="str">
        <x:v>Uncommon</x:v>
      </x:c>
      <x:c r="G803" s="45" t="n">
        <x:v>5000</x:v>
      </x:c>
      <x:c r="H803" s="45" t="n">
        <x:f>IF(G803="","",ROUNDUP(G803*3,0))</x:f>
        <x:v>15000</x:v>
      </x:c>
      <x:c r="I803" s="41" t="n">
        <x:v>1</x:v>
      </x:c>
      <x:c r="J803" s="42" t="n">
        <x:v>40</x:v>
      </x:c>
      <x:c r="K803" s="42" t="n">
        <x:v>38</x:v>
      </x:c>
      <x:c r="L803" s="42" t="n">
        <x:v>35</x:v>
      </x:c>
      <x:c r="M803" s="42" t="n">
        <x:v>54</x:v>
      </x:c>
      <x:c r="N803" s="42" t="n">
        <x:v>35</x:v>
      </x:c>
      <x:c r="O803" s="42" t="n">
        <x:v>40</x:v>
      </x:c>
      <x:c r="P803" s="43" t="n">
        <x:f>IF(COUNT(J803:O803)=0,"",SUM(J803:O803))</x:f>
        <x:v>242</x:v>
      </x:c>
      <x:c r="Q803" s="23" t="str">
        <x:v>1 lignes de spawn</x:v>
      </x:c>
      <x:c r="R803" s="23" t="str">
        <x:v>Il stocke du poison dans une poche interne et l'exsude par sa peau. Si vous touchez ce Pokémon, une sensation de picotement apparaît.</x:v>
      </x:c>
      <x:c r="S803" s="23" t="str"/>
      <x:c r="T803" s="23" t="str">
        <x:v>https://pixelmonmod.com/wiki/Toxel</x:v>
      </x:c>
    </x:row>
    <x:row r="804" ht="54" customHeight="1">
      <x:c r="A804" s="27" t="n">
        <x:v>849</x:v>
      </x:c>
      <x:c r="B804" s="23" t="str">
        <x:v>Salarsen</x:v>
      </x:c>
      <x:c r="C804" s="23" t="str">
        <x:v>Toxtricity</x:v>
      </x:c>
      <x:c r="D804" s="23" t="str">
        <x:v>Électrik</x:v>
      </x:c>
      <x:c r="E804" s="23" t="str">
        <x:v>Poison</x:v>
      </x:c>
      <x:c r="F804" s="23" t="str">
        <x:v>Rare / Very Rare / Ultra Rare</x:v>
      </x:c>
      <x:c r="G804" s="45" t="n">
        <x:v>75000</x:v>
      </x:c>
      <x:c r="H804" s="45" t="n">
        <x:f>IF(G804="","",ROUNDUP(G804*3,0))</x:f>
        <x:v>225000</x:v>
      </x:c>
      <x:c r="I804" s="41" t="n">
        <x:v>0.33299999999999996</x:v>
      </x:c>
      <x:c r="J804" s="42" t="n">
        <x:v>75</x:v>
      </x:c>
      <x:c r="K804" s="42" t="n">
        <x:v>98</x:v>
      </x:c>
      <x:c r="L804" s="42" t="n">
        <x:v>70</x:v>
      </x:c>
      <x:c r="M804" s="42" t="n">
        <x:v>114</x:v>
      </x:c>
      <x:c r="N804" s="42" t="n">
        <x:v>70</x:v>
      </x:c>
      <x:c r="O804" s="42" t="n">
        <x:v>75</x:v>
      </x:c>
      <x:c r="P804" s="43" t="n">
        <x:f>IF(COUNT(J804:O804)=0,"",SUM(J804:O804))</x:f>
        <x:v>502</x:v>
      </x:c>
      <x:c r="Q804" s="23" t="str">
        <x:v>6 lignes de spawn</x:v>
      </x:c>
      <x:c r="R804" s="23" t="str">
        <x:v>Quand on dirait qu'il gratte une guitare, il frotte en réalité les protubérances sur sa poitrine pour générer de l'électricité.</x:v>
      </x:c>
      <x:c r="S804" s="23" t="str">
        <x:v>Égalité de fréquence; prix provisoire basé sur le palier le plus élevé. Very Rare aligné sur le palier Super Rare (provisoire).</x:v>
      </x:c>
      <x:c r="T804" s="23" t="str">
        <x:v>https://pixelmonmod.com/wiki/Toxtricity</x:v>
      </x:c>
    </x:row>
    <x:row r="805" ht="54" customHeight="1">
      <x:c r="A805" s="27" t="n">
        <x:v>850</x:v>
      </x:c>
      <x:c r="B805" s="23" t="str">
        <x:v>Grillepattes</x:v>
      </x:c>
      <x:c r="C805" s="23" t="str">
        <x:v>Sizzlipede</x:v>
      </x:c>
      <x:c r="D805" s="23" t="str">
        <x:v>Feu</x:v>
      </x:c>
      <x:c r="E805" s="23" t="str">
        <x:v>Insecte</x:v>
      </x:c>
      <x:c r="F805" s="23" t="str">
        <x:v>Uncommon</x:v>
      </x:c>
      <x:c r="G805" s="45" t="n">
        <x:v>5000</x:v>
      </x:c>
      <x:c r="H805" s="45" t="n">
        <x:f>IF(G805="","",ROUNDUP(G805*3,0))</x:f>
        <x:v>15000</x:v>
      </x:c>
      <x:c r="I805" s="41" t="n">
        <x:v>1</x:v>
      </x:c>
      <x:c r="J805" s="42" t="n">
        <x:v>50</x:v>
      </x:c>
      <x:c r="K805" s="42" t="n">
        <x:v>65</x:v>
      </x:c>
      <x:c r="L805" s="42" t="n">
        <x:v>45</x:v>
      </x:c>
      <x:c r="M805" s="42" t="n">
        <x:v>50</x:v>
      </x:c>
      <x:c r="N805" s="42" t="n">
        <x:v>50</x:v>
      </x:c>
      <x:c r="O805" s="42" t="n">
        <x:v>45</x:v>
      </x:c>
      <x:c r="P805" s="43" t="n">
        <x:f>IF(COUNT(J805:O805)=0,"",SUM(J805:O805))</x:f>
        <x:v>305</x:v>
      </x:c>
      <x:c r="Q805" s="23" t="str">
        <x:v>7 lignes de spawn</x:v>
      </x:c>
      <x:c r="R805" s="23" t="str">
        <x:v>Il stocke un gaz inflammable dans son corps pour générer de la chaleur. Les sections jaunes de son ventre deviennent particulièrement chaudes.</x:v>
      </x:c>
      <x:c r="S805" s="23" t="str"/>
      <x:c r="T805" s="23" t="str">
        <x:v>https://pixelmonmod.com/wiki/Sizzlipede</x:v>
      </x:c>
    </x:row>
    <x:row r="806" ht="54" customHeight="1">
      <x:c r="A806" s="27" t="n">
        <x:v>851</x:v>
      </x:c>
      <x:c r="B806" s="23" t="str">
        <x:v>Scolocendre</x:v>
      </x:c>
      <x:c r="C806" s="23" t="str">
        <x:v>Centiskorch</x:v>
      </x:c>
      <x:c r="D806" s="23" t="str">
        <x:v>Feu</x:v>
      </x:c>
      <x:c r="E806" s="23" t="str">
        <x:v>Insecte</x:v>
      </x:c>
      <x:c r="F806" s="23" t="str">
        <x:v>Ultra Rare</x:v>
      </x:c>
      <x:c r="G806" s="45" t="n">
        <x:v>75000</x:v>
      </x:c>
      <x:c r="H806" s="45" t="n">
        <x:f>IF(G806="","",ROUNDUP(G806*3,0))</x:f>
        <x:v>225000</x:v>
      </x:c>
      <x:c r="I806" s="41" t="n">
        <x:v>0.889</x:v>
      </x:c>
      <x:c r="J806" s="42" t="n">
        <x:v>100</x:v>
      </x:c>
      <x:c r="K806" s="42" t="n">
        <x:v>115</x:v>
      </x:c>
      <x:c r="L806" s="42" t="n">
        <x:v>65</x:v>
      </x:c>
      <x:c r="M806" s="42" t="n">
        <x:v>90</x:v>
      </x:c>
      <x:c r="N806" s="42" t="n">
        <x:v>90</x:v>
      </x:c>
      <x:c r="O806" s="42" t="n">
        <x:v>65</x:v>
      </x:c>
      <x:c r="P806" s="43" t="n">
        <x:f>IF(COUNT(J806:O806)=0,"",SUM(J806:O806))</x:f>
        <x:v>525</x:v>
      </x:c>
      <x:c r="Q806" s="23" t="str">
        <x:v>9 lignes de spawn</x:v>
      </x:c>
      <x:c r="R806" s="23" t="str">
        <x:v>Lorsqu'il chauffe, sa température corporelle atteint environ 800 °C. Il fouette son corps comme un fouet avant de se projeter sur ses ennemis.</x:v>
      </x:c>
      <x:c r="S806" s="23" t="str"/>
      <x:c r="T806" s="23" t="str">
        <x:v>https://pixelmonmod.com/wiki/Centiskorch</x:v>
      </x:c>
    </x:row>
    <x:row r="807" ht="54" customHeight="1">
      <x:c r="A807" s="27" t="n">
        <x:v>852</x:v>
      </x:c>
      <x:c r="B807" s="23" t="str">
        <x:v>Poulpaf</x:v>
      </x:c>
      <x:c r="C807" s="23" t="str">
        <x:v>Clobbopus</x:v>
      </x:c>
      <x:c r="D807" s="23" t="str">
        <x:v>Combat</x:v>
      </x:c>
      <x:c r="E807" s="23" t="str"/>
      <x:c r="F807" s="23" t="str">
        <x:v>Uncommon</x:v>
      </x:c>
      <x:c r="G807" s="45" t="n">
        <x:v>5000</x:v>
      </x:c>
      <x:c r="H807" s="45" t="n">
        <x:f>IF(G807="","",ROUNDUP(G807*3,0))</x:f>
        <x:v>15000</x:v>
      </x:c>
      <x:c r="I807" s="41" t="n">
        <x:v>1</x:v>
      </x:c>
      <x:c r="J807" s="42" t="n">
        <x:v>50</x:v>
      </x:c>
      <x:c r="K807" s="42" t="n">
        <x:v>68</x:v>
      </x:c>
      <x:c r="L807" s="42" t="n">
        <x:v>60</x:v>
      </x:c>
      <x:c r="M807" s="42" t="n">
        <x:v>50</x:v>
      </x:c>
      <x:c r="N807" s="42" t="n">
        <x:v>50</x:v>
      </x:c>
      <x:c r="O807" s="42" t="n">
        <x:v>32</x:v>
      </x:c>
      <x:c r="P807" s="43" t="n">
        <x:f>IF(COUNT(J807:O807)=0,"",SUM(J807:O807))</x:f>
        <x:v>310</x:v>
      </x:c>
      <x:c r="Q807" s="23" t="str">
        <x:v>7 lignes de spawn</x:v>
      </x:c>
      <x:c r="R807" s="23" t="str">
        <x:v>Très curieux, il examine tout… en tentant de lui donner un coup avec ses tentacules. La recherche de nourriture est ce qui le pousse à venir sur la terre ferme.</x:v>
      </x:c>
      <x:c r="S807" s="23" t="str"/>
      <x:c r="T807" s="23" t="str">
        <x:v>https://pixelmonmod.com/wiki/Clobbopus</x:v>
      </x:c>
    </x:row>
    <x:row r="808" ht="54" customHeight="1">
      <x:c r="A808" s="27" t="n">
        <x:v>853</x:v>
      </x:c>
      <x:c r="B808" s="23" t="str">
        <x:v>Krakenox</x:v>
      </x:c>
      <x:c r="C808" s="23" t="str">
        <x:v>Grapploct</x:v>
      </x:c>
      <x:c r="D808" s="23" t="str">
        <x:v>Combat</x:v>
      </x:c>
      <x:c r="E808" s="23" t="str"/>
      <x:c r="F808" s="23" t="str">
        <x:v>Rare</x:v>
      </x:c>
      <x:c r="G808" s="45" t="n">
        <x:v>12000</x:v>
      </x:c>
      <x:c r="H808" s="45" t="n">
        <x:f>IF(G808="","",ROUNDUP(G808*3,0))</x:f>
        <x:v>36000</x:v>
      </x:c>
      <x:c r="I808" s="41" t="n">
        <x:v>0.7140000000000001</x:v>
      </x:c>
      <x:c r="J808" s="42" t="n">
        <x:v>80</x:v>
      </x:c>
      <x:c r="K808" s="42" t="n">
        <x:v>118</x:v>
      </x:c>
      <x:c r="L808" s="42" t="n">
        <x:v>90</x:v>
      </x:c>
      <x:c r="M808" s="42" t="n">
        <x:v>70</x:v>
      </x:c>
      <x:c r="N808" s="42" t="n">
        <x:v>80</x:v>
      </x:c>
      <x:c r="O808" s="42" t="n">
        <x:v>42</x:v>
      </x:c>
      <x:c r="P808" s="43" t="n">
        <x:f>IF(COUNT(J808:O808)=0,"",SUM(J808:O808))</x:f>
        <x:v>480</x:v>
      </x:c>
      <x:c r="Q808" s="23" t="str">
        <x:v>7 lignes de spawn</x:v>
      </x:c>
      <x:c r="R808" s="23" t="str">
        <x:v>Son corps constitué uniquement de muscle rend ses prises exécutées avec ses tentacules extrêmement puissantes.</x:v>
      </x:c>
      <x:c r="S808" s="23" t="str"/>
      <x:c r="T808" s="23" t="str">
        <x:v>https://pixelmonmod.com/wiki/Grapploct</x:v>
      </x:c>
    </x:row>
    <x:row r="809" ht="54" customHeight="1">
      <x:c r="A809" s="27" t="n">
        <x:v>854</x:v>
      </x:c>
      <x:c r="B809" s="23" t="str">
        <x:v>Théffroi</x:v>
      </x:c>
      <x:c r="C809" s="23" t="str">
        <x:v>Sinistea</x:v>
      </x:c>
      <x:c r="D809" s="23" t="str">
        <x:v>Spectre</x:v>
      </x:c>
      <x:c r="E809" s="23" t="str"/>
      <x:c r="F809" s="23" t="str">
        <x:v>Uncommon / Very Rare</x:v>
      </x:c>
      <x:c r="G809" s="45" t="n">
        <x:v>30000</x:v>
      </x:c>
      <x:c r="H809" s="45" t="n">
        <x:f>IF(G809="","",ROUNDUP(G809*3,0))</x:f>
        <x:v>90000</x:v>
      </x:c>
      <x:c r="I809" s="41" t="n">
        <x:v>0.5</x:v>
      </x:c>
      <x:c r="J809" s="42" t="n">
        <x:v>40</x:v>
      </x:c>
      <x:c r="K809" s="42" t="n">
        <x:v>45</x:v>
      </x:c>
      <x:c r="L809" s="42" t="n">
        <x:v>45</x:v>
      </x:c>
      <x:c r="M809" s="42" t="n">
        <x:v>74</x:v>
      </x:c>
      <x:c r="N809" s="42" t="n">
        <x:v>54</x:v>
      </x:c>
      <x:c r="O809" s="42" t="n">
        <x:v>50</x:v>
      </x:c>
      <x:c r="P809" s="43" t="n">
        <x:f>IF(COUNT(J809:O809)=0,"",SUM(J809:O809))</x:f>
        <x:v>308</x:v>
      </x:c>
      <x:c r="Q809" s="23" t="str">
        <x:v>8 lignes de spawn</x:v>
      </x:c>
      <x:c r="R809" s="23" t="str">
        <x:v>On dit que ce Pokémon est né lorsqu'un esprit esseulé a possédé une tasse de thé froide et abandonnée.</x:v>
      </x:c>
      <x:c r="S809" s="23" t="str">
        <x:v>Égalité de fréquence; prix provisoire basé sur le palier le plus élevé. Very Rare aligné sur le palier Super Rare (provisoire).</x:v>
      </x:c>
      <x:c r="T809" s="23" t="str">
        <x:v>https://pixelmonmod.com/wiki/Sinistea</x:v>
      </x:c>
    </x:row>
    <x:row r="810" ht="54" customHeight="1">
      <x:c r="A810" s="27" t="n">
        <x:v>855</x:v>
      </x:c>
      <x:c r="B810" s="23" t="str">
        <x:v>Polthégeist</x:v>
      </x:c>
      <x:c r="C810" s="23" t="str">
        <x:v>Polteageist</x:v>
      </x:c>
      <x:c r="D810" s="23" t="str">
        <x:v>Spectre</x:v>
      </x:c>
      <x:c r="E810" s="23" t="str"/>
      <x:c r="F810" s="23" t="str">
        <x:v>Very Rare / Ultra Rare</x:v>
      </x:c>
      <x:c r="G810" s="45" t="n">
        <x:v>75000</x:v>
      </x:c>
      <x:c r="H810" s="45" t="n">
        <x:f>IF(G810="","",ROUNDUP(G810*3,0))</x:f>
        <x:v>225000</x:v>
      </x:c>
      <x:c r="I810" s="41" t="n">
        <x:v>0.5</x:v>
      </x:c>
      <x:c r="J810" s="42" t="n">
        <x:v>60</x:v>
      </x:c>
      <x:c r="K810" s="42" t="n">
        <x:v>65</x:v>
      </x:c>
      <x:c r="L810" s="42" t="n">
        <x:v>65</x:v>
      </x:c>
      <x:c r="M810" s="42" t="n">
        <x:v>134</x:v>
      </x:c>
      <x:c r="N810" s="42" t="n">
        <x:v>114</x:v>
      </x:c>
      <x:c r="O810" s="42" t="n">
        <x:v>70</x:v>
      </x:c>
      <x:c r="P810" s="43" t="n">
        <x:f>IF(COUNT(J810:O810)=0,"",SUM(J810:O810))</x:f>
        <x:v>508</x:v>
      </x:c>
      <x:c r="Q810" s="23" t="str">
        <x:v>6 lignes de spawn</x:v>
      </x:c>
      <x:c r="R810" s="23" t="str">
        <x:v>Cette espèce vit dans des théières anciennes. La plupart sont des contrefaçons, mais il arrive rarement qu'une œuvre authentique soit trouvée.</x:v>
      </x:c>
      <x:c r="S810" s="23" t="str">
        <x:v>Égalité de fréquence; prix provisoire basé sur le palier le plus élevé. Very Rare aligné sur le palier Super Rare (provisoire).</x:v>
      </x:c>
      <x:c r="T810" s="23" t="str">
        <x:v>https://pixelmonmod.com/wiki/Polteageist</x:v>
      </x:c>
    </x:row>
    <x:row r="811" ht="54" customHeight="1">
      <x:c r="A811" s="27" t="n">
        <x:v>856</x:v>
      </x:c>
      <x:c r="B811" s="23" t="str">
        <x:v>Bibichut</x:v>
      </x:c>
      <x:c r="C811" s="23" t="str">
        <x:v>Hatenna</x:v>
      </x:c>
      <x:c r="D811" s="23" t="str">
        <x:v>Psy</x:v>
      </x:c>
      <x:c r="E811" s="23" t="str"/>
      <x:c r="F811" s="23" t="str">
        <x:v>Rare</x:v>
      </x:c>
      <x:c r="G811" s="45" t="n">
        <x:v>12000</x:v>
      </x:c>
      <x:c r="H811" s="45" t="n">
        <x:f>IF(G811="","",ROUNDUP(G811*3,0))</x:f>
        <x:v>36000</x:v>
      </x:c>
      <x:c r="I811" s="41" t="n">
        <x:v>0.75</x:v>
      </x:c>
      <x:c r="J811" s="42" t="n">
        <x:v>42</x:v>
      </x:c>
      <x:c r="K811" s="42" t="n">
        <x:v>30</x:v>
      </x:c>
      <x:c r="L811" s="42" t="n">
        <x:v>45</x:v>
      </x:c>
      <x:c r="M811" s="42" t="n">
        <x:v>56</x:v>
      </x:c>
      <x:c r="N811" s="42" t="n">
        <x:v>53</x:v>
      </x:c>
      <x:c r="O811" s="42" t="n">
        <x:v>39</x:v>
      </x:c>
      <x:c r="P811" s="43" t="n">
        <x:f>IF(COUNT(J811:O811)=0,"",SUM(J811:O811))</x:f>
        <x:v>265</x:v>
      </x:c>
      <x:c r="Q811" s="23" t="str">
        <x:v>4 lignes de spawn</x:v>
      </x:c>
      <x:c r="R811" s="23" t="str">
        <x:v>Grâce à l'excroissance sur sa tête, il perçoit les émotions des créatures proches. Sans un tempérament calme, il ne s'attachera jamais à vous.</x:v>
      </x:c>
      <x:c r="S811" s="23" t="str"/>
      <x:c r="T811" s="23" t="str">
        <x:v>https://pixelmonmod.com/wiki/Hatenna</x:v>
      </x:c>
    </x:row>
    <x:row r="812" ht="54" customHeight="1">
      <x:c r="A812" s="27" t="n">
        <x:v>857</x:v>
      </x:c>
      <x:c r="B812" s="23" t="str">
        <x:v>Chapotus</x:v>
      </x:c>
      <x:c r="C812" s="23" t="str">
        <x:v>Hattrem</x:v>
      </x:c>
      <x:c r="D812" s="23" t="str">
        <x:v>Psy</x:v>
      </x:c>
      <x:c r="E812" s="23" t="str"/>
      <x:c r="F812" s="23" t="str">
        <x:v>Ultra Rare</x:v>
      </x:c>
      <x:c r="G812" s="45" t="n">
        <x:v>75000</x:v>
      </x:c>
      <x:c r="H812" s="45" t="n">
        <x:f>IF(G812="","",ROUNDUP(G812*3,0))</x:f>
        <x:v>225000</x:v>
      </x:c>
      <x:c r="I812" s="41" t="n">
        <x:v>0.75</x:v>
      </x:c>
      <x:c r="J812" s="42" t="n">
        <x:v>57</x:v>
      </x:c>
      <x:c r="K812" s="42" t="n">
        <x:v>40</x:v>
      </x:c>
      <x:c r="L812" s="42" t="n">
        <x:v>65</x:v>
      </x:c>
      <x:c r="M812" s="42" t="n">
        <x:v>86</x:v>
      </x:c>
      <x:c r="N812" s="42" t="n">
        <x:v>73</x:v>
      </x:c>
      <x:c r="O812" s="42" t="n">
        <x:v>49</x:v>
      </x:c>
      <x:c r="P812" s="43" t="n">
        <x:f>IF(COUNT(J812:O812)=0,"",SUM(J812:O812))</x:f>
        <x:v>370</x:v>
      </x:c>
      <x:c r="Q812" s="23" t="str">
        <x:v>4 lignes de spawn</x:v>
      </x:c>
      <x:c r="R812" s="23" t="str">
        <x:v>Peu importe qui vous êtes : si vous approchez avec de fortes émotions, ce Pokémon vous réduira au silence violemment.</x:v>
      </x:c>
      <x:c r="S812" s="23" t="str"/>
      <x:c r="T812" s="23" t="str">
        <x:v>https://pixelmonmod.com/wiki/Hattrem</x:v>
      </x:c>
    </x:row>
    <x:row r="813" ht="54" customHeight="1">
      <x:c r="A813" s="27" t="n">
        <x:v>858</x:v>
      </x:c>
      <x:c r="B813" s="23" t="str">
        <x:v>Sorcilence</x:v>
      </x:c>
      <x:c r="C813" s="23" t="str">
        <x:v>Hatterene</x:v>
      </x:c>
      <x:c r="D813" s="23" t="str">
        <x:v>Psy</x:v>
      </x:c>
      <x:c r="E813" s="23" t="str">
        <x:v>Fée</x:v>
      </x:c>
      <x:c r="F813" s="23" t="str">
        <x:v>Ultra Rare</x:v>
      </x:c>
      <x:c r="G813" s="45" t="n">
        <x:v>75000</x:v>
      </x:c>
      <x:c r="H813" s="45" t="n">
        <x:f>IF(G813="","",ROUNDUP(G813*3,0))</x:f>
        <x:v>225000</x:v>
      </x:c>
      <x:c r="I813" s="41" t="n">
        <x:v>1</x:v>
      </x:c>
      <x:c r="J813" s="42" t="n">
        <x:v>57</x:v>
      </x:c>
      <x:c r="K813" s="42" t="n">
        <x:v>90</x:v>
      </x:c>
      <x:c r="L813" s="42" t="n">
        <x:v>95</x:v>
      </x:c>
      <x:c r="M813" s="42" t="n">
        <x:v>136</x:v>
      </x:c>
      <x:c r="N813" s="42" t="n">
        <x:v>103</x:v>
      </x:c>
      <x:c r="O813" s="42" t="n">
        <x:v>29</x:v>
      </x:c>
      <x:c r="P813" s="43" t="n">
        <x:f>IF(COUNT(J813:O813)=0,"",SUM(J813:O813))</x:f>
        <x:v>510</x:v>
      </x:c>
      <x:c r="Q813" s="23" t="str">
        <x:v>4 lignes de spawn</x:v>
      </x:c>
      <x:c r="R813" s="23" t="str">
        <x:v>Il émet une puissance psychique assez forte pour provoquer des maux de tête afin de repousser les intrus.</x:v>
      </x:c>
      <x:c r="S813" s="23" t="str"/>
      <x:c r="T813" s="23" t="str">
        <x:v>https://pixelmonmod.com/wiki/Hatterene</x:v>
      </x:c>
    </x:row>
    <x:row r="814" ht="54" customHeight="1">
      <x:c r="A814" s="27" t="n">
        <x:v>859</x:v>
      </x:c>
      <x:c r="B814" s="23" t="str">
        <x:v>Grimalin</x:v>
      </x:c>
      <x:c r="C814" s="23" t="str">
        <x:v>Impidimp</x:v>
      </x:c>
      <x:c r="D814" s="23" t="str">
        <x:v>Ténèbres</x:v>
      </x:c>
      <x:c r="E814" s="23" t="str">
        <x:v>Fée</x:v>
      </x:c>
      <x:c r="F814" s="23" t="str">
        <x:v>Uncommon</x:v>
      </x:c>
      <x:c r="G814" s="45" t="n">
        <x:v>5000</x:v>
      </x:c>
      <x:c r="H814" s="45" t="n">
        <x:f>IF(G814="","",ROUNDUP(G814*3,0))</x:f>
        <x:v>15000</x:v>
      </x:c>
      <x:c r="I814" s="41" t="n">
        <x:v>1</x:v>
      </x:c>
      <x:c r="J814" s="42" t="n">
        <x:v>45</x:v>
      </x:c>
      <x:c r="K814" s="42" t="n">
        <x:v>45</x:v>
      </x:c>
      <x:c r="L814" s="42" t="n">
        <x:v>30</x:v>
      </x:c>
      <x:c r="M814" s="42" t="n">
        <x:v>55</x:v>
      </x:c>
      <x:c r="N814" s="42" t="n">
        <x:v>40</x:v>
      </x:c>
      <x:c r="O814" s="42" t="n">
        <x:v>50</x:v>
      </x:c>
      <x:c r="P814" s="43" t="n">
        <x:f>IF(COUNT(J814:O814)=0,"",SUM(J814:O814))</x:f>
        <x:v>265</x:v>
      </x:c>
      <x:c r="Q814" s="23" t="str">
        <x:v>14 lignes de spawn</x:v>
      </x:c>
      <x:c r="R814" s="23" t="str">
        <x:v>Il aspire par le nez les émanations produites par les gens et les Pokémon lorsqu'ils sont irrités. Il se nourrit de cette énergie négative.</x:v>
      </x:c>
      <x:c r="S814" s="23" t="str"/>
      <x:c r="T814" s="23" t="str">
        <x:v>https://pixelmonmod.com/wiki/Impidimp</x:v>
      </x:c>
    </x:row>
    <x:row r="815" ht="54" customHeight="1">
      <x:c r="A815" s="27" t="n">
        <x:v>860</x:v>
      </x:c>
      <x:c r="B815" s="23" t="str">
        <x:v>Fourbelin</x:v>
      </x:c>
      <x:c r="C815" s="23" t="str">
        <x:v>Morgrem</x:v>
      </x:c>
      <x:c r="D815" s="23" t="str">
        <x:v>Ténèbres</x:v>
      </x:c>
      <x:c r="E815" s="23" t="str">
        <x:v>Fée</x:v>
      </x:c>
      <x:c r="F815" s="23" t="str">
        <x:v>Very Rare</x:v>
      </x:c>
      <x:c r="G815" s="45" t="n">
        <x:v>30000</x:v>
      </x:c>
      <x:c r="H815" s="45" t="n">
        <x:f>IF(G815="","",ROUNDUP(G815*3,0))</x:f>
        <x:v>90000</x:v>
      </x:c>
      <x:c r="I815" s="41" t="n">
        <x:v>0.929</x:v>
      </x:c>
      <x:c r="J815" s="42" t="n">
        <x:v>65</x:v>
      </x:c>
      <x:c r="K815" s="42" t="n">
        <x:v>60</x:v>
      </x:c>
      <x:c r="L815" s="42" t="n">
        <x:v>45</x:v>
      </x:c>
      <x:c r="M815" s="42" t="n">
        <x:v>75</x:v>
      </x:c>
      <x:c r="N815" s="42" t="n">
        <x:v>55</x:v>
      </x:c>
      <x:c r="O815" s="42" t="n">
        <x:v>70</x:v>
      </x:c>
      <x:c r="P815" s="43" t="n">
        <x:f>IF(COUNT(J815:O815)=0,"",SUM(J815:O815))</x:f>
        <x:v>370</x:v>
      </x:c>
      <x:c r="Q815" s="23" t="str">
        <x:v>14 lignes de spawn</x:v>
      </x:c>
      <x:c r="R815" s="23" t="str">
        <x:v>Quand il se met à quatre pattes comme s'il implorait le pardon, il tente en réalité d'attirer ses ennemis pour les transpercer avec ses cheveux en forme de lance.</x:v>
      </x:c>
      <x:c r="S815" s="23" t="str">
        <x:v>Very Rare aligné sur le palier Super Rare (provisoire).</x:v>
      </x:c>
      <x:c r="T815" s="23" t="str">
        <x:v>https://pixelmonmod.com/wiki/Morgrem</x:v>
      </x:c>
    </x:row>
    <x:row r="816" ht="54" customHeight="1">
      <x:c r="A816" s="27" t="n">
        <x:v>861</x:v>
      </x:c>
      <x:c r="B816" s="23" t="str">
        <x:v>Angoliath</x:v>
      </x:c>
      <x:c r="C816" s="23" t="str">
        <x:v>Grimmsnarl</x:v>
      </x:c>
      <x:c r="D816" s="23" t="str">
        <x:v>Ténèbres</x:v>
      </x:c>
      <x:c r="E816" s="23" t="str">
        <x:v>Fée</x:v>
      </x:c>
      <x:c r="F816" s="23" t="str">
        <x:v>Ultra Rare</x:v>
      </x:c>
      <x:c r="G816" s="45" t="n">
        <x:v>75000</x:v>
      </x:c>
      <x:c r="H816" s="45" t="n">
        <x:f>IF(G816="","",ROUNDUP(G816*3,0))</x:f>
        <x:v>225000</x:v>
      </x:c>
      <x:c r="I816" s="41" t="n">
        <x:v>1</x:v>
      </x:c>
      <x:c r="J816" s="42" t="n">
        <x:v>95</x:v>
      </x:c>
      <x:c r="K816" s="42" t="n">
        <x:v>120</x:v>
      </x:c>
      <x:c r="L816" s="42" t="n">
        <x:v>65</x:v>
      </x:c>
      <x:c r="M816" s="42" t="n">
        <x:v>95</x:v>
      </x:c>
      <x:c r="N816" s="42" t="n">
        <x:v>75</x:v>
      </x:c>
      <x:c r="O816" s="42" t="n">
        <x:v>60</x:v>
      </x:c>
      <x:c r="P816" s="43" t="n">
        <x:f>IF(COUNT(J816:O816)=0,"",SUM(J816:O816))</x:f>
        <x:v>510</x:v>
      </x:c>
      <x:c r="Q816" s="23" t="str">
        <x:v>13 lignes de spawn</x:v>
      </x:c>
      <x:c r="R816" s="23" t="str">
        <x:v>Les cheveux enroulés autour de son corps renforcent ses muscles, permettant à ce Pokémon de surpasser même Mackogneur.</x:v>
      </x:c>
      <x:c r="S816" s="23" t="str"/>
      <x:c r="T816" s="23" t="str">
        <x:v>https://pixelmonmod.com/wiki/Grimmsnarl</x:v>
      </x:c>
    </x:row>
    <x:row r="817" ht="54" customHeight="1">
      <x:c r="A817" s="27" t="n">
        <x:v>862</x:v>
      </x:c>
      <x:c r="B817" s="23" t="str">
        <x:v>Ixon</x:v>
      </x:c>
      <x:c r="C817" s="23" t="str">
        <x:v>Obstagoon</x:v>
      </x:c>
      <x:c r="D817" s="23" t="str">
        <x:v>Ténèbres</x:v>
      </x:c>
      <x:c r="E817" s="23" t="str">
        <x:v>Normal</x:v>
      </x:c>
      <x:c r="F817" s="23" t="str">
        <x:v>Ultra Rare</x:v>
      </x:c>
      <x:c r="G817" s="45" t="n">
        <x:v>75000</x:v>
      </x:c>
      <x:c r="H817" s="45" t="n">
        <x:f>IF(G817="","",ROUNDUP(G817*3,0))</x:f>
        <x:v>225000</x:v>
      </x:c>
      <x:c r="I817" s="41" t="n">
        <x:v>1</x:v>
      </x:c>
      <x:c r="J817" s="42" t="n">
        <x:v>93</x:v>
      </x:c>
      <x:c r="K817" s="42" t="n">
        <x:v>90</x:v>
      </x:c>
      <x:c r="L817" s="42" t="n">
        <x:v>101</x:v>
      </x:c>
      <x:c r="M817" s="42" t="n">
        <x:v>60</x:v>
      </x:c>
      <x:c r="N817" s="42" t="n">
        <x:v>81</x:v>
      </x:c>
      <x:c r="O817" s="42" t="n">
        <x:v>95</x:v>
      </x:c>
      <x:c r="P817" s="43" t="n">
        <x:f>IF(COUNT(J817:O817)=0,"",SUM(J817:O817))</x:f>
        <x:v>520</x:v>
      </x:c>
      <x:c r="Q817" s="23" t="str">
        <x:v>5 lignes de spawn</x:v>
      </x:c>
      <x:c r="R817" s="23" t="str">
        <x:v>Sa voix est d'un volume assourdissant. Ixon a tendance à adopter une posture menaçante et à pousser un cri — ce mouvement est connu sous le nom de Blocage.</x:v>
      </x:c>
      <x:c r="S817" s="23" t="str"/>
      <x:c r="T817" s="23" t="str">
        <x:v>https://pixelmonmod.com/wiki/Obstagoon</x:v>
      </x:c>
    </x:row>
    <x:row r="818" ht="54" customHeight="1">
      <x:c r="A818" s="27" t="n">
        <x:v>863</x:v>
      </x:c>
      <x:c r="B818" s="23" t="str">
        <x:v>Berserkatt</x:v>
      </x:c>
      <x:c r="C818" s="23" t="str">
        <x:v>Perrserker</x:v>
      </x:c>
      <x:c r="D818" s="23" t="str">
        <x:v>Acier</x:v>
      </x:c>
      <x:c r="E818" s="23" t="str"/>
      <x:c r="F818" s="23" t="str">
        <x:v>Very Rare / Ultra Rare</x:v>
      </x:c>
      <x:c r="G818" s="45" t="n">
        <x:v>75000</x:v>
      </x:c>
      <x:c r="H818" s="45" t="n">
        <x:f>IF(G818="","",ROUNDUP(G818*3,0))</x:f>
        <x:v>225000</x:v>
      </x:c>
      <x:c r="I818" s="41" t="n">
        <x:v>0.5</x:v>
      </x:c>
      <x:c r="J818" s="42" t="n">
        <x:v>70</x:v>
      </x:c>
      <x:c r="K818" s="42" t="n">
        <x:v>110</x:v>
      </x:c>
      <x:c r="L818" s="42" t="n">
        <x:v>100</x:v>
      </x:c>
      <x:c r="M818" s="42" t="n">
        <x:v>50</x:v>
      </x:c>
      <x:c r="N818" s="42" t="n">
        <x:v>60</x:v>
      </x:c>
      <x:c r="O818" s="42" t="n">
        <x:v>50</x:v>
      </x:c>
      <x:c r="P818" s="43" t="n">
        <x:f>IF(COUNT(J818:O818)=0,"",SUM(J818:O818))</x:f>
        <x:v>440</x:v>
      </x:c>
      <x:c r="Q818" s="23" t="str">
        <x:v>10 lignes de spawn</x:v>
      </x:c>
      <x:c r="R818" s="23" t="str">
        <x:v>Ce qui semble être un casque en fer est en réalité une fourrure durcie. Ce Pokémon vit pour le frisson du combat.</x:v>
      </x:c>
      <x:c r="S818" s="23" t="str">
        <x:v>Égalité de fréquence; prix provisoire basé sur le palier le plus élevé. Very Rare aligné sur le palier Super Rare (provisoire).</x:v>
      </x:c>
      <x:c r="T818" s="23" t="str">
        <x:v>https://pixelmonmod.com/wiki/Perrserker</x:v>
      </x:c>
    </x:row>
    <x:row r="819" ht="54" customHeight="1">
      <x:c r="A819" s="27" t="n">
        <x:v>864</x:v>
      </x:c>
      <x:c r="B819" s="23" t="str">
        <x:v>Corayôme</x:v>
      </x:c>
      <x:c r="C819" s="23" t="str">
        <x:v>Cursola</x:v>
      </x:c>
      <x:c r="D819" s="23" t="str">
        <x:v>Spectre</x:v>
      </x:c>
      <x:c r="E819" s="23" t="str"/>
      <x:c r="F819" s="23" t="str">
        <x:v>Ultra Rare</x:v>
      </x:c>
      <x:c r="G819" s="45" t="n">
        <x:v>75000</x:v>
      </x:c>
      <x:c r="H819" s="45" t="n">
        <x:f>IF(G819="","",ROUNDUP(G819*3,0))</x:f>
        <x:v>225000</x:v>
      </x:c>
      <x:c r="I819" s="41" t="n">
        <x:v>1</x:v>
      </x:c>
      <x:c r="J819" s="42" t="n">
        <x:v>60</x:v>
      </x:c>
      <x:c r="K819" s="42" t="n">
        <x:v>95</x:v>
      </x:c>
      <x:c r="L819" s="42" t="n">
        <x:v>50</x:v>
      </x:c>
      <x:c r="M819" s="42" t="n">
        <x:v>145</x:v>
      </x:c>
      <x:c r="N819" s="42" t="n">
        <x:v>130</x:v>
      </x:c>
      <x:c r="O819" s="42" t="n">
        <x:v>30</x:v>
      </x:c>
      <x:c r="P819" s="43" t="n">
        <x:f>IF(COUNT(J819:O819)=0,"",SUM(J819:O819))</x:f>
        <x:v>510</x:v>
      </x:c>
      <x:c r="Q819" s="23" t="str">
        <x:v>5 lignes de spawn</x:v>
      </x:c>
      <x:c r="R819" s="23" t="str">
        <x:v>Sa coquille déborde d'une énergie d'outre-monde décuplée. Son ectoplasme protège l'esprit de son noyau.</x:v>
      </x:c>
      <x:c r="S819" s="23" t="str"/>
      <x:c r="T819" s="23" t="str">
        <x:v>https://pixelmonmod.com/wiki/Cursola</x:v>
      </x:c>
    </x:row>
    <x:row r="820" ht="54" customHeight="1">
      <x:c r="A820" s="27" t="n">
        <x:v>865</x:v>
      </x:c>
      <x:c r="B820" s="23" t="str">
        <x:v>Palarticho</x:v>
      </x:c>
      <x:c r="C820" s="23" t="str">
        <x:v>Sirfetch'd</x:v>
      </x:c>
      <x:c r="D820" s="23" t="str">
        <x:v>Combat</x:v>
      </x:c>
      <x:c r="E820" s="23" t="str"/>
      <x:c r="F820" s="23" t="str">
        <x:v>Ultra Rare</x:v>
      </x:c>
      <x:c r="G820" s="45" t="n">
        <x:v>75000</x:v>
      </x:c>
      <x:c r="H820" s="45" t="n">
        <x:f>IF(G820="","",ROUNDUP(G820*3,0))</x:f>
        <x:v>225000</x:v>
      </x:c>
      <x:c r="I820" s="41" t="n">
        <x:v>1</x:v>
      </x:c>
      <x:c r="J820" s="42" t="n">
        <x:v>62</x:v>
      </x:c>
      <x:c r="K820" s="42" t="n">
        <x:v>135</x:v>
      </x:c>
      <x:c r="L820" s="42" t="n">
        <x:v>95</x:v>
      </x:c>
      <x:c r="M820" s="42" t="n">
        <x:v>68</x:v>
      </x:c>
      <x:c r="N820" s="42" t="n">
        <x:v>82</x:v>
      </x:c>
      <x:c r="O820" s="42" t="n">
        <x:v>65</x:v>
      </x:c>
      <x:c r="P820" s="43" t="n">
        <x:f>IF(COUNT(J820:O820)=0,"",SUM(J820:O820))</x:f>
        <x:v>507</x:v>
      </x:c>
      <x:c r="Q820" s="23" t="str">
        <x:v>3 lignes de spawn</x:v>
      </x:c>
      <x:c r="R820" s="23" t="str">
        <x:v>Seuls les Canarticho ayant survécu à de nombreux combats peuvent atteindre cette évolution. Lorsque son poireau se fane, ce Pokémon se retire du combat.</x:v>
      </x:c>
      <x:c r="S820" s="23" t="str"/>
      <x:c r="T820" s="23" t="str">
        <x:v>https://pixelmonmod.com/wiki/Sirfetch%27d</x:v>
      </x:c>
    </x:row>
    <x:row r="821" ht="54" customHeight="1">
      <x:c r="A821" s="27" t="n">
        <x:v>866</x:v>
      </x:c>
      <x:c r="B821" s="23" t="str">
        <x:v>M. Rime</x:v>
      </x:c>
      <x:c r="C821" s="23" t="str">
        <x:v>Mr. Rime</x:v>
      </x:c>
      <x:c r="D821" s="23" t="str">
        <x:v>Glace</x:v>
      </x:c>
      <x:c r="E821" s="23" t="str">
        <x:v>Psy</x:v>
      </x:c>
      <x:c r="F821" s="23" t="str">
        <x:v>Ultra Rare</x:v>
      </x:c>
      <x:c r="G821" s="45" t="n">
        <x:v>75000</x:v>
      </x:c>
      <x:c r="H821" s="45" t="n">
        <x:f>IF(G821="","",ROUNDUP(G821*3,0))</x:f>
        <x:v>225000</x:v>
      </x:c>
      <x:c r="I821" s="41" t="n">
        <x:v>1</x:v>
      </x:c>
      <x:c r="J821" s="42" t="n">
        <x:v>80</x:v>
      </x:c>
      <x:c r="K821" s="42" t="n">
        <x:v>85</x:v>
      </x:c>
      <x:c r="L821" s="42" t="n">
        <x:v>75</x:v>
      </x:c>
      <x:c r="M821" s="42" t="n">
        <x:v>110</x:v>
      </x:c>
      <x:c r="N821" s="42" t="n">
        <x:v>100</x:v>
      </x:c>
      <x:c r="O821" s="42" t="n">
        <x:v>70</x:v>
      </x:c>
      <x:c r="P821" s="43" t="n">
        <x:f>IF(COUNT(J821:O821)=0,"",SUM(J821:O821))</x:f>
        <x:v>520</x:v>
      </x:c>
      <x:c r="Q821" s="23" t="str">
        <x:v>1 lignes de spawn</x:v>
      </x:c>
      <x:c r="R821" s="23" t="str">
        <x:v>Il est extrêmement doué pour les claquettes. Il agite sa canne de glace en rythme avec ses mouvements gracieux.</x:v>
      </x:c>
      <x:c r="S821" s="23" t="str"/>
      <x:c r="T821" s="23" t="str">
        <x:v>https://pixelmonmod.com/wiki/Mr._Rime</x:v>
      </x:c>
    </x:row>
    <x:row r="822" ht="54" customHeight="1">
      <x:c r="A822" s="27" t="n">
        <x:v>867</x:v>
      </x:c>
      <x:c r="B822" s="23" t="str">
        <x:v>Tutétékri</x:v>
      </x:c>
      <x:c r="C822" s="23" t="str">
        <x:v>Runerigus</x:v>
      </x:c>
      <x:c r="D822" s="23" t="str">
        <x:v>Sol</x:v>
      </x:c>
      <x:c r="E822" s="23" t="str">
        <x:v>Spectre</x:v>
      </x:c>
      <x:c r="F822" s="23" t="str">
        <x:v>Ultra Rare</x:v>
      </x:c>
      <x:c r="G822" s="45" t="n">
        <x:v>75000</x:v>
      </x:c>
      <x:c r="H822" s="45" t="n">
        <x:f>IF(G822="","",ROUNDUP(G822*3,0))</x:f>
        <x:v>225000</x:v>
      </x:c>
      <x:c r="I822" s="41" t="n">
        <x:v>0.875</x:v>
      </x:c>
      <x:c r="J822" s="42" t="n">
        <x:v>58</x:v>
      </x:c>
      <x:c r="K822" s="42" t="n">
        <x:v>95</x:v>
      </x:c>
      <x:c r="L822" s="42" t="n">
        <x:v>145</x:v>
      </x:c>
      <x:c r="M822" s="42" t="n">
        <x:v>50</x:v>
      </x:c>
      <x:c r="N822" s="42" t="n">
        <x:v>105</x:v>
      </x:c>
      <x:c r="O822" s="42" t="n">
        <x:v>30</x:v>
      </x:c>
      <x:c r="P822" s="43" t="n">
        <x:f>IF(COUNT(J822:O822)=0,"",SUM(J822:O822))</x:f>
        <x:v>483</x:v>
      </x:c>
      <x:c r="Q822" s="23" t="str">
        <x:v>8 lignes de spawn</x:v>
      </x:c>
      <x:c r="R822" s="23" t="str">
        <x:v>Une malédiction puissante fut tissée dans une peinture antique. Après avoir absorbé l'esprit d'un Skelenox, la peinture prit vie.</x:v>
      </x:c>
      <x:c r="S822" s="23" t="str"/>
      <x:c r="T822" s="23" t="str">
        <x:v>https://pixelmonmod.com/wiki/Runerigus</x:v>
      </x:c>
    </x:row>
    <x:row r="823" ht="54" customHeight="1">
      <x:c r="A823" s="27" t="n">
        <x:v>868</x:v>
      </x:c>
      <x:c r="B823" s="23" t="str">
        <x:v>Crèmy</x:v>
      </x:c>
      <x:c r="C823" s="23" t="str">
        <x:v>Milcery</x:v>
      </x:c>
      <x:c r="D823" s="23" t="str">
        <x:v>Fée</x:v>
      </x:c>
      <x:c r="E823" s="23" t="str"/>
      <x:c r="F823" s="23" t="str">
        <x:v>Uncommon</x:v>
      </x:c>
      <x:c r="G823" s="45" t="n">
        <x:v>5000</x:v>
      </x:c>
      <x:c r="H823" s="45" t="n">
        <x:f>IF(G823="","",ROUNDUP(G823*3,0))</x:f>
        <x:v>15000</x:v>
      </x:c>
      <x:c r="I823" s="41" t="n">
        <x:v>1</x:v>
      </x:c>
      <x:c r="J823" s="42" t="n">
        <x:v>45</x:v>
      </x:c>
      <x:c r="K823" s="42" t="n">
        <x:v>40</x:v>
      </x:c>
      <x:c r="L823" s="42" t="n">
        <x:v>40</x:v>
      </x:c>
      <x:c r="M823" s="42" t="n">
        <x:v>50</x:v>
      </x:c>
      <x:c r="N823" s="42" t="n">
        <x:v>61</x:v>
      </x:c>
      <x:c r="O823" s="42" t="n">
        <x:v>34</x:v>
      </x:c>
      <x:c r="P823" s="43" t="n">
        <x:f>IF(COUNT(J823:O823)=0,"",SUM(J823:O823))</x:f>
        <x:v>270</x:v>
      </x:c>
      <x:c r="Q823" s="23" t="str">
        <x:v>2 lignes de spawn</x:v>
      </x:c>
      <x:c r="R823" s="23" t="str">
        <x:v>Ce Pokémon est né de particules sucrées présentes dans l'air. Son corps est fait de crème.</x:v>
      </x:c>
      <x:c r="S823" s="23" t="str"/>
      <x:c r="T823" s="23" t="str">
        <x:v>https://pixelmonmod.com/wiki/Milcery</x:v>
      </x:c>
    </x:row>
    <x:row r="824" ht="54" customHeight="1">
      <x:c r="A824" s="27" t="n">
        <x:v>869</x:v>
      </x:c>
      <x:c r="B824" s="23" t="str">
        <x:v>Charmilly</x:v>
      </x:c>
      <x:c r="C824" s="23" t="str">
        <x:v>Alcremie</x:v>
      </x:c>
      <x:c r="D824" s="23" t="str">
        <x:v>Fée</x:v>
      </x:c>
      <x:c r="E824" s="23" t="str"/>
      <x:c r="F824" s="23" t="str">
        <x:v>Non classé</x:v>
      </x:c>
      <x:c r="G824" s="45"/>
      <x:c r="H824" s="45" t="str">
        <x:f>IF(G824="","",ROUNDUP(G824*3,0))</x:f>
      </x:c>
      <x:c r="I824" s="41"/>
      <x:c r="J824" s="42" t="n">
        <x:v>65</x:v>
      </x:c>
      <x:c r="K824" s="42" t="n">
        <x:v>60</x:v>
      </x:c>
      <x:c r="L824" s="42" t="n">
        <x:v>75</x:v>
      </x:c>
      <x:c r="M824" s="42" t="n">
        <x:v>110</x:v>
      </x:c>
      <x:c r="N824" s="42" t="n">
        <x:v>121</x:v>
      </x:c>
      <x:c r="O824" s="42" t="n">
        <x:v>64</x:v>
      </x:c>
      <x:c r="P824" s="43" t="n">
        <x:f>IF(COUNT(J824:O824)=0,"",SUM(J824:O824))</x:f>
        <x:v>495</x:v>
      </x:c>
      <x:c r="Q824" s="23" t="str">
        <x:v>Aucune ligne classée</x:v>
      </x:c>
      <x:c r="R824" s="23" t="str">
        <x:v>Lorsqu'il fait confiance à un Dresseur, il lui offre des Baies décorées de crème.</x:v>
      </x:c>
      <x:c r="S824" s="23" t="str">
        <x:v>Aucune rareté wiki exploitable; prix à fixer.</x:v>
      </x:c>
      <x:c r="T824" s="23" t="str">
        <x:v>https://pixelmonmod.com/wiki/Alcremie</x:v>
      </x:c>
    </x:row>
    <x:row r="825" ht="54" customHeight="1">
      <x:c r="A825" s="27" t="n">
        <x:v>870</x:v>
      </x:c>
      <x:c r="B825" s="23" t="str">
        <x:v>Hexadron</x:v>
      </x:c>
      <x:c r="C825" s="23" t="str">
        <x:v>Falinks</x:v>
      </x:c>
      <x:c r="D825" s="23" t="str">
        <x:v>Combat</x:v>
      </x:c>
      <x:c r="E825" s="23" t="str"/>
      <x:c r="F825" s="23" t="str">
        <x:v>Rare</x:v>
      </x:c>
      <x:c r="G825" s="45" t="n">
        <x:v>12000</x:v>
      </x:c>
      <x:c r="H825" s="45" t="n">
        <x:f>IF(G825="","",ROUNDUP(G825*3,0))</x:f>
        <x:v>36000</x:v>
      </x:c>
      <x:c r="I825" s="41" t="n">
        <x:v>1</x:v>
      </x:c>
      <x:c r="J825" s="42" t="n">
        <x:v>65</x:v>
      </x:c>
      <x:c r="K825" s="42" t="n">
        <x:v>100</x:v>
      </x:c>
      <x:c r="L825" s="42" t="n">
        <x:v>100</x:v>
      </x:c>
      <x:c r="M825" s="42" t="n">
        <x:v>70</x:v>
      </x:c>
      <x:c r="N825" s="42" t="n">
        <x:v>60</x:v>
      </x:c>
      <x:c r="O825" s="42" t="n">
        <x:v>75</x:v>
      </x:c>
      <x:c r="P825" s="43" t="n">
        <x:f>IF(COUNT(J825:O825)=0,"",SUM(J825:O825))</x:f>
        <x:v>470</x:v>
      </x:c>
      <x:c r="Q825" s="23" t="str">
        <x:v>2 lignes de spawn</x:v>
      </x:c>
      <x:c r="R825" s="23" t="str">
        <x:v>Cinq d'entre eux sont des soldats, et un est le chef. Les ordres du chef sont absolus.</x:v>
      </x:c>
      <x:c r="S825" s="23" t="str"/>
      <x:c r="T825" s="23" t="str">
        <x:v>https://pixelmonmod.com/wiki/Falinks</x:v>
      </x:c>
    </x:row>
    <x:row r="826" ht="54" customHeight="1">
      <x:c r="A826" s="27" t="n">
        <x:v>871</x:v>
      </x:c>
      <x:c r="B826" s="23" t="str">
        <x:v>Wattapik</x:v>
      </x:c>
      <x:c r="C826" s="23" t="str">
        <x:v>Pincurchin</x:v>
      </x:c>
      <x:c r="D826" s="23" t="str">
        <x:v>Électrik</x:v>
      </x:c>
      <x:c r="E826" s="23" t="str"/>
      <x:c r="F826" s="23" t="str">
        <x:v>Uncommon</x:v>
      </x:c>
      <x:c r="G826" s="45" t="n">
        <x:v>5000</x:v>
      </x:c>
      <x:c r="H826" s="45" t="n">
        <x:f>IF(G826="","",ROUNDUP(G826*3,0))</x:f>
        <x:v>15000</x:v>
      </x:c>
      <x:c r="I826" s="41" t="n">
        <x:v>0.625</x:v>
      </x:c>
      <x:c r="J826" s="42" t="n">
        <x:v>48</x:v>
      </x:c>
      <x:c r="K826" s="42" t="n">
        <x:v>101</x:v>
      </x:c>
      <x:c r="L826" s="42" t="n">
        <x:v>95</x:v>
      </x:c>
      <x:c r="M826" s="42" t="n">
        <x:v>91</x:v>
      </x:c>
      <x:c r="N826" s="42" t="n">
        <x:v>85</x:v>
      </x:c>
      <x:c r="O826" s="42" t="n">
        <x:v>15</x:v>
      </x:c>
      <x:c r="P826" s="43" t="n">
        <x:f>IF(COUNT(J826:O826)=0,"",SUM(J826:O826))</x:f>
        <x:v>435</x:v>
      </x:c>
      <x:c r="Q826" s="23" t="str">
        <x:v>8 lignes de spawn</x:v>
      </x:c>
      <x:c r="R826" s="23" t="str">
        <x:v>Il se nourrit d'algues en les raclant sur les rochers avec ses dents. Un courant électrique s'écoule du bout de ses piquants.</x:v>
      </x:c>
      <x:c r="S826" s="23" t="str"/>
      <x:c r="T826" s="23" t="str">
        <x:v>https://pixelmonmod.com/wiki/Pincurchin</x:v>
      </x:c>
    </x:row>
    <x:row r="827" ht="54" customHeight="1">
      <x:c r="A827" s="27" t="n">
        <x:v>872</x:v>
      </x:c>
      <x:c r="B827" s="23" t="str">
        <x:v>Larvadar</x:v>
      </x:c>
      <x:c r="C827" s="23" t="str">
        <x:v>Snom</x:v>
      </x:c>
      <x:c r="D827" s="23" t="str">
        <x:v>Glace</x:v>
      </x:c>
      <x:c r="E827" s="23" t="str">
        <x:v>Insecte</x:v>
      </x:c>
      <x:c r="F827" s="23" t="str">
        <x:v>Uncommon</x:v>
      </x:c>
      <x:c r="G827" s="45" t="n">
        <x:v>5000</x:v>
      </x:c>
      <x:c r="H827" s="45" t="n">
        <x:f>IF(G827="","",ROUNDUP(G827*3,0))</x:f>
        <x:v>15000</x:v>
      </x:c>
      <x:c r="I827" s="41" t="n">
        <x:v>0.8</x:v>
      </x:c>
      <x:c r="J827" s="42" t="n">
        <x:v>30</x:v>
      </x:c>
      <x:c r="K827" s="42" t="n">
        <x:v>25</x:v>
      </x:c>
      <x:c r="L827" s="42" t="n">
        <x:v>35</x:v>
      </x:c>
      <x:c r="M827" s="42" t="n">
        <x:v>45</x:v>
      </x:c>
      <x:c r="N827" s="42" t="n">
        <x:v>30</x:v>
      </x:c>
      <x:c r="O827" s="42" t="n">
        <x:v>20</x:v>
      </x:c>
      <x:c r="P827" s="43" t="n">
        <x:f>IF(COUNT(J827:O827)=0,"",SUM(J827:O827))</x:f>
        <x:v>185</x:v>
      </x:c>
      <x:c r="Q827" s="23" t="str">
        <x:v>5 lignes de spawn</x:v>
      </x:c>
      <x:c r="R827" s="23" t="str">
        <x:v>Il recrache un fil chargé d'une énergie glaciale et s'en sert pour s'attacher aux branches, se camouflant en stalactite lorsqu'il dort.</x:v>
      </x:c>
      <x:c r="S827" s="23" t="str"/>
      <x:c r="T827" s="23" t="str">
        <x:v>https://pixelmonmod.com/wiki/Snom</x:v>
      </x:c>
    </x:row>
    <x:row r="828" ht="54" customHeight="1">
      <x:c r="A828" s="27" t="n">
        <x:v>873</x:v>
      </x:c>
      <x:c r="B828" s="23" t="str">
        <x:v>Beldeneige</x:v>
      </x:c>
      <x:c r="C828" s="23" t="str">
        <x:v>Frosmoth</x:v>
      </x:c>
      <x:c r="D828" s="23" t="str">
        <x:v>Glace</x:v>
      </x:c>
      <x:c r="E828" s="23" t="str">
        <x:v>Insecte</x:v>
      </x:c>
      <x:c r="F828" s="23" t="str">
        <x:v>Ultra Rare</x:v>
      </x:c>
      <x:c r="G828" s="45" t="n">
        <x:v>75000</x:v>
      </x:c>
      <x:c r="H828" s="45" t="n">
        <x:f>IF(G828="","",ROUNDUP(G828*3,0))</x:f>
        <x:v>225000</x:v>
      </x:c>
      <x:c r="I828" s="41" t="n">
        <x:v>0.75</x:v>
      </x:c>
      <x:c r="J828" s="42" t="n">
        <x:v>70</x:v>
      </x:c>
      <x:c r="K828" s="42" t="n">
        <x:v>65</x:v>
      </x:c>
      <x:c r="L828" s="42" t="n">
        <x:v>60</x:v>
      </x:c>
      <x:c r="M828" s="42" t="n">
        <x:v>125</x:v>
      </x:c>
      <x:c r="N828" s="42" t="n">
        <x:v>90</x:v>
      </x:c>
      <x:c r="O828" s="42" t="n">
        <x:v>65</x:v>
      </x:c>
      <x:c r="P828" s="43" t="n">
        <x:f>IF(COUNT(J828:O828)=0,"",SUM(J828:O828))</x:f>
        <x:v>475</x:v>
      </x:c>
      <x:c r="Q828" s="23" t="str">
        <x:v>4 lignes de spawn</x:v>
      </x:c>
      <x:c r="R828" s="23" t="str">
        <x:v>Ses ailes libèrent des écailles glacées semblables à la neige lorsqu'il survole plaines et montagnes. Leur température est inférieure à –180 °C.</x:v>
      </x:c>
      <x:c r="S828" s="23" t="str"/>
      <x:c r="T828" s="23" t="str">
        <x:v>https://pixelmonmod.com/wiki/Frosmoth</x:v>
      </x:c>
    </x:row>
    <x:row r="829" ht="54" customHeight="1">
      <x:c r="A829" s="27" t="n">
        <x:v>874</x:v>
      </x:c>
      <x:c r="B829" s="23" t="str">
        <x:v>Dolman</x:v>
      </x:c>
      <x:c r="C829" s="23" t="str">
        <x:v>Stonjourner</x:v>
      </x:c>
      <x:c r="D829" s="23" t="str">
        <x:v>Roche</x:v>
      </x:c>
      <x:c r="E829" s="23" t="str"/>
      <x:c r="F829" s="23" t="str">
        <x:v>Ultra Rare</x:v>
      </x:c>
      <x:c r="G829" s="45" t="n">
        <x:v>75000</x:v>
      </x:c>
      <x:c r="H829" s="45" t="n">
        <x:f>IF(G829="","",ROUNDUP(G829*3,0))</x:f>
        <x:v>225000</x:v>
      </x:c>
      <x:c r="I829" s="41" t="n">
        <x:v>1</x:v>
      </x:c>
      <x:c r="J829" s="42" t="n">
        <x:v>100</x:v>
      </x:c>
      <x:c r="K829" s="42" t="n">
        <x:v>125</x:v>
      </x:c>
      <x:c r="L829" s="42" t="n">
        <x:v>135</x:v>
      </x:c>
      <x:c r="M829" s="42" t="n">
        <x:v>20</x:v>
      </x:c>
      <x:c r="N829" s="42" t="n">
        <x:v>20</x:v>
      </x:c>
      <x:c r="O829" s="42" t="n">
        <x:v>70</x:v>
      </x:c>
      <x:c r="P829" s="43" t="n">
        <x:f>IF(COUNT(J829:O829)=0,"",SUM(J829:O829))</x:f>
        <x:v>470</x:v>
      </x:c>
      <x:c r="Q829" s="23" t="str">
        <x:v>1 lignes de spawn</x:v>
      </x:c>
      <x:c r="R829" s="23" t="str">
        <x:v>Il se tient dans les plaines et observe la course du soleil, du zénith jusqu'à l'horizon. Ce Pokémon excelle dans l'art de donner des coups de pied dynamiques.</x:v>
      </x:c>
      <x:c r="S829" s="23" t="str"/>
      <x:c r="T829" s="23" t="str">
        <x:v>https://pixelmonmod.com/wiki/Stonjourner</x:v>
      </x:c>
    </x:row>
    <x:row r="830" ht="54" customHeight="1">
      <x:c r="A830" s="27" t="n">
        <x:v>875</x:v>
      </x:c>
      <x:c r="B830" s="23" t="str">
        <x:v>Bekaglaçon</x:v>
      </x:c>
      <x:c r="C830" s="23" t="str">
        <x:v>Eiscue</x:v>
      </x:c>
      <x:c r="D830" s="23" t="str">
        <x:v>Glace</x:v>
      </x:c>
      <x:c r="E830" s="23" t="str"/>
      <x:c r="F830" s="23" t="str">
        <x:v>Uncommon</x:v>
      </x:c>
      <x:c r="G830" s="45" t="n">
        <x:v>5000</x:v>
      </x:c>
      <x:c r="H830" s="45" t="n">
        <x:f>IF(G830="","",ROUNDUP(G830*3,0))</x:f>
        <x:v>15000</x:v>
      </x:c>
      <x:c r="I830" s="41" t="n">
        <x:v>1</x:v>
      </x:c>
      <x:c r="J830" s="42" t="n">
        <x:v>75</x:v>
      </x:c>
      <x:c r="K830" s="42" t="n">
        <x:v>80</x:v>
      </x:c>
      <x:c r="L830" s="42" t="n">
        <x:v>110</x:v>
      </x:c>
      <x:c r="M830" s="42" t="n">
        <x:v>65</x:v>
      </x:c>
      <x:c r="N830" s="42" t="n">
        <x:v>90</x:v>
      </x:c>
      <x:c r="O830" s="42" t="n">
        <x:v>50</x:v>
      </x:c>
      <x:c r="P830" s="43" t="n">
        <x:f>IF(COUNT(J830:O830)=0,"",SUM(J830:O830))</x:f>
        <x:v>470</x:v>
      </x:c>
      <x:c r="Q830" s="23" t="str">
        <x:v>4 lignes de spawn</x:v>
      </x:c>
      <x:c r="R830" s="23" t="str">
        <x:v>Il a dérivé jusqu'ici, porté par les courants océaniques depuis un endroit glacial. Il garde constamment la tête gelée pour rester bien au froid.</x:v>
      </x:c>
      <x:c r="S830" s="23" t="str"/>
      <x:c r="T830" s="23" t="str">
        <x:v>https://pixelmonmod.com/wiki/Eiscue</x:v>
      </x:c>
    </x:row>
    <x:row r="831" ht="54" customHeight="1">
      <x:c r="A831" s="27" t="n">
        <x:v>876</x:v>
      </x:c>
      <x:c r="B831" s="23" t="str">
        <x:v>Wimessir</x:v>
      </x:c>
      <x:c r="C831" s="23" t="str">
        <x:v>Indeedee</x:v>
      </x:c>
      <x:c r="D831" s="23" t="str">
        <x:v>Psy</x:v>
      </x:c>
      <x:c r="E831" s="23" t="str">
        <x:v>Normal</x:v>
      </x:c>
      <x:c r="F831" s="23" t="str">
        <x:v>Rare</x:v>
      </x:c>
      <x:c r="G831" s="45" t="n">
        <x:v>12000</x:v>
      </x:c>
      <x:c r="H831" s="45" t="n">
        <x:f>IF(G831="","",ROUNDUP(G831*3,0))</x:f>
        <x:v>36000</x:v>
      </x:c>
      <x:c r="I831" s="41" t="n">
        <x:v>1</x:v>
      </x:c>
      <x:c r="J831" s="42" t="n">
        <x:v>60</x:v>
      </x:c>
      <x:c r="K831" s="42" t="n">
        <x:v>65</x:v>
      </x:c>
      <x:c r="L831" s="42" t="n">
        <x:v>55</x:v>
      </x:c>
      <x:c r="M831" s="42" t="n">
        <x:v>105</x:v>
      </x:c>
      <x:c r="N831" s="42" t="n">
        <x:v>95</x:v>
      </x:c>
      <x:c r="O831" s="42" t="n">
        <x:v>95</x:v>
      </x:c>
      <x:c r="P831" s="43" t="n">
        <x:f>IF(COUNT(J831:O831)=0,"",SUM(J831:O831))</x:f>
        <x:v>475</x:v>
      </x:c>
      <x:c r="Q831" s="23" t="str">
        <x:v>2 lignes de spawn</x:v>
      </x:c>
      <x:c r="R831" s="23" t="str">
        <x:v>Il utilise les cornes sur sa tête pour ressentir les émotions des autres. Les mâles agissent comme des valets auprès de ceux qu'ils servent et s'occupent de tous leurs besoins.</x:v>
      </x:c>
      <x:c r="S831" s="23" t="str"/>
      <x:c r="T831" s="23" t="str">
        <x:v>https://pixelmonmod.com/wiki/Indeedee</x:v>
      </x:c>
    </x:row>
    <x:row r="832" ht="54" customHeight="1">
      <x:c r="A832" s="27" t="n">
        <x:v>877</x:v>
      </x:c>
      <x:c r="B832" s="23" t="str">
        <x:v>Morpeko</x:v>
      </x:c>
      <x:c r="C832" s="23" t="str">
        <x:v>Morpeko</x:v>
      </x:c>
      <x:c r="D832" s="23" t="str">
        <x:v>Électrik</x:v>
      </x:c>
      <x:c r="E832" s="23" t="str">
        <x:v>Ténèbres</x:v>
      </x:c>
      <x:c r="F832" s="23" t="str">
        <x:v>Uncommon</x:v>
      </x:c>
      <x:c r="G832" s="45" t="n">
        <x:v>5000</x:v>
      </x:c>
      <x:c r="H832" s="45" t="n">
        <x:f>IF(G832="","",ROUNDUP(G832*3,0))</x:f>
        <x:v>15000</x:v>
      </x:c>
      <x:c r="I832" s="41" t="n">
        <x:v>1</x:v>
      </x:c>
      <x:c r="J832" s="42" t="n">
        <x:v>58</x:v>
      </x:c>
      <x:c r="K832" s="42" t="n">
        <x:v>95</x:v>
      </x:c>
      <x:c r="L832" s="42" t="n">
        <x:v>58</x:v>
      </x:c>
      <x:c r="M832" s="42" t="n">
        <x:v>70</x:v>
      </x:c>
      <x:c r="N832" s="42" t="n">
        <x:v>58</x:v>
      </x:c>
      <x:c r="O832" s="42" t="n">
        <x:v>97</x:v>
      </x:c>
      <x:c r="P832" s="43" t="n">
        <x:f>IF(COUNT(J832:O832)=0,"",SUM(J832:O832))</x:f>
        <x:v>436</x:v>
      </x:c>
      <x:c r="Q832" s="23" t="str">
        <x:v>4 lignes de spawn</x:v>
      </x:c>
      <x:c r="R832" s="23" t="str">
        <x:v>En mangeant les graines stockées dans ses pochettes, ce Pokémon ne fait pas que satisfaire sa faim constante : il génère aussi de l'électricité.</x:v>
      </x:c>
      <x:c r="S832" s="23" t="str"/>
      <x:c r="T832" s="23" t="str">
        <x:v>https://pixelmonmod.com/wiki/Morpeko</x:v>
      </x:c>
    </x:row>
    <x:row r="833" ht="54" customHeight="1">
      <x:c r="A833" s="27" t="n">
        <x:v>878</x:v>
      </x:c>
      <x:c r="B833" s="23" t="str">
        <x:v>Charibari</x:v>
      </x:c>
      <x:c r="C833" s="23" t="str">
        <x:v>Cufant</x:v>
      </x:c>
      <x:c r="D833" s="23" t="str">
        <x:v>Acier</x:v>
      </x:c>
      <x:c r="E833" s="23" t="str"/>
      <x:c r="F833" s="23" t="str">
        <x:v>Uncommon</x:v>
      </x:c>
      <x:c r="G833" s="45" t="n">
        <x:v>5000</x:v>
      </x:c>
      <x:c r="H833" s="45" t="n">
        <x:f>IF(G833="","",ROUNDUP(G833*3,0))</x:f>
        <x:v>15000</x:v>
      </x:c>
      <x:c r="I833" s="41" t="n">
        <x:v>1</x:v>
      </x:c>
      <x:c r="J833" s="42" t="n">
        <x:v>72</x:v>
      </x:c>
      <x:c r="K833" s="42" t="n">
        <x:v>80</x:v>
      </x:c>
      <x:c r="L833" s="42" t="n">
        <x:v>49</x:v>
      </x:c>
      <x:c r="M833" s="42" t="n">
        <x:v>40</x:v>
      </x:c>
      <x:c r="N833" s="42" t="n">
        <x:v>49</x:v>
      </x:c>
      <x:c r="O833" s="42" t="n">
        <x:v>40</x:v>
      </x:c>
      <x:c r="P833" s="43" t="n">
        <x:f>IF(COUNT(J833:O833)=0,"",SUM(J833:O833))</x:f>
        <x:v>330</x:v>
      </x:c>
      <x:c r="Q833" s="23" t="str">
        <x:v>1 lignes de spawn</x:v>
      </x:c>
      <x:c r="R833" s="23" t="str">
        <x:v>Il creuse la terre avec sa trompe. Il est aussi très fort, capable de transporter des charges de plus de cinq tonnes sans aucune difficulté.</x:v>
      </x:c>
      <x:c r="S833" s="23" t="str"/>
      <x:c r="T833" s="23" t="str">
        <x:v>https://pixelmonmod.com/wiki/Cufant</x:v>
      </x:c>
    </x:row>
    <x:row r="834" ht="54" customHeight="1">
      <x:c r="A834" s="27" t="n">
        <x:v>879</x:v>
      </x:c>
      <x:c r="B834" s="23" t="str">
        <x:v>Pachyradjah</x:v>
      </x:c>
      <x:c r="C834" s="23" t="str">
        <x:v>Copperajah</x:v>
      </x:c>
      <x:c r="D834" s="23" t="str">
        <x:v>Acier</x:v>
      </x:c>
      <x:c r="E834" s="23" t="str"/>
      <x:c r="F834" s="23" t="str">
        <x:v>Ultra Rare</x:v>
      </x:c>
      <x:c r="G834" s="45" t="n">
        <x:v>75000</x:v>
      </x:c>
      <x:c r="H834" s="45" t="n">
        <x:f>IF(G834="","",ROUNDUP(G834*3,0))</x:f>
        <x:v>225000</x:v>
      </x:c>
      <x:c r="I834" s="41" t="n">
        <x:v>1</x:v>
      </x:c>
      <x:c r="J834" s="42" t="n">
        <x:v>122</x:v>
      </x:c>
      <x:c r="K834" s="42" t="n">
        <x:v>130</x:v>
      </x:c>
      <x:c r="L834" s="42" t="n">
        <x:v>69</x:v>
      </x:c>
      <x:c r="M834" s="42" t="n">
        <x:v>80</x:v>
      </x:c>
      <x:c r="N834" s="42" t="n">
        <x:v>69</x:v>
      </x:c>
      <x:c r="O834" s="42" t="n">
        <x:v>30</x:v>
      </x:c>
      <x:c r="P834" s="43" t="n">
        <x:f>IF(COUNT(J834:O834)=0,"",SUM(J834:O834))</x:f>
        <x:v>500</x:v>
      </x:c>
      <x:c r="Q834" s="23" t="str">
        <x:v>1 lignes de spawn</x:v>
      </x:c>
      <x:c r="R834" s="23" t="str">
        <x:v>Ils sont venus d'une autre région il y a longtemps et ont travaillé avec les humains. Leur peau verte est résistante à l'eau.</x:v>
      </x:c>
      <x:c r="S834" s="23" t="str"/>
      <x:c r="T834" s="23" t="str">
        <x:v>https://pixelmonmod.com/wiki/Copperajah</x:v>
      </x:c>
    </x:row>
    <x:row r="835" ht="54" customHeight="1">
      <x:c r="A835" s="27" t="n">
        <x:v>880</x:v>
      </x:c>
      <x:c r="B835" s="23" t="str">
        <x:v>Galvagon</x:v>
      </x:c>
      <x:c r="C835" s="23" t="str">
        <x:v>Dracozolt</x:v>
      </x:c>
      <x:c r="D835" s="23" t="str">
        <x:v>Électrik</x:v>
      </x:c>
      <x:c r="E835" s="23" t="str">
        <x:v>Dragon</x:v>
      </x:c>
      <x:c r="F835" s="23" t="str">
        <x:v>Very Rare</x:v>
      </x:c>
      <x:c r="G835" s="45" t="n">
        <x:v>30000</x:v>
      </x:c>
      <x:c r="H835" s="45" t="n">
        <x:f>IF(G835="","",ROUNDUP(G835*3,0))</x:f>
        <x:v>90000</x:v>
      </x:c>
      <x:c r="I835" s="41" t="n">
        <x:v>1</x:v>
      </x:c>
      <x:c r="J835" s="42" t="n">
        <x:v>90</x:v>
      </x:c>
      <x:c r="K835" s="42" t="n">
        <x:v>100</x:v>
      </x:c>
      <x:c r="L835" s="42" t="n">
        <x:v>90</x:v>
      </x:c>
      <x:c r="M835" s="42" t="n">
        <x:v>80</x:v>
      </x:c>
      <x:c r="N835" s="42" t="n">
        <x:v>70</x:v>
      </x:c>
      <x:c r="O835" s="42" t="n">
        <x:v>75</x:v>
      </x:c>
      <x:c r="P835" s="43" t="n">
        <x:f>IF(COUNT(J835:O835)=0,"",SUM(J835:O835))</x:f>
        <x:v>505</x:v>
      </x:c>
      <x:c r="Q835" s="23" t="str">
        <x:v>1 lignes de spawn</x:v>
      </x:c>
      <x:c r="R835" s="23" t="str">
        <x:v>Autrefois, il était imbattable grâce à sa puissante moitié inférieure, mais il a disparu après avoir épuisé toutes ses sources de nourriture végétale.</x:v>
      </x:c>
      <x:c r="S835" s="23" t="str">
        <x:v>Very Rare aligné sur le palier Super Rare (provisoire).</x:v>
      </x:c>
      <x:c r="T835" s="23" t="str">
        <x:v>https://pixelmonmod.com/wiki/Dracozolt</x:v>
      </x:c>
    </x:row>
    <x:row r="836" ht="54" customHeight="1">
      <x:c r="A836" s="27" t="n">
        <x:v>881</x:v>
      </x:c>
      <x:c r="B836" s="23" t="str">
        <x:v>Galvagla</x:v>
      </x:c>
      <x:c r="C836" s="23" t="str">
        <x:v>Arctozolt</x:v>
      </x:c>
      <x:c r="D836" s="23" t="str">
        <x:v>Électrik</x:v>
      </x:c>
      <x:c r="E836" s="23" t="str">
        <x:v>Glace</x:v>
      </x:c>
      <x:c r="F836" s="23" t="str">
        <x:v>Very Rare</x:v>
      </x:c>
      <x:c r="G836" s="45" t="n">
        <x:v>30000</x:v>
      </x:c>
      <x:c r="H836" s="45" t="n">
        <x:f>IF(G836="","",ROUNDUP(G836*3,0))</x:f>
        <x:v>90000</x:v>
      </x:c>
      <x:c r="I836" s="41" t="n">
        <x:v>1</x:v>
      </x:c>
      <x:c r="J836" s="42" t="n">
        <x:v>90</x:v>
      </x:c>
      <x:c r="K836" s="42" t="n">
        <x:v>100</x:v>
      </x:c>
      <x:c r="L836" s="42" t="n">
        <x:v>90</x:v>
      </x:c>
      <x:c r="M836" s="42" t="n">
        <x:v>90</x:v>
      </x:c>
      <x:c r="N836" s="42" t="n">
        <x:v>80</x:v>
      </x:c>
      <x:c r="O836" s="42" t="n">
        <x:v>55</x:v>
      </x:c>
      <x:c r="P836" s="43" t="n">
        <x:f>IF(COUNT(J836:O836)=0,"",SUM(J836:O836))</x:f>
        <x:v>505</x:v>
      </x:c>
      <x:c r="Q836" s="23" t="str">
        <x:v>1 lignes de spawn</x:v>
      </x:c>
      <x:c r="R836" s="23" t="str">
        <x:v>Les secousses de sa partie supérieure glacée génèrent son électricité. Il a beaucoup de mal à se déplacer.</x:v>
      </x:c>
      <x:c r="S836" s="23" t="str">
        <x:v>Very Rare aligné sur le palier Super Rare (provisoire).</x:v>
      </x:c>
      <x:c r="T836" s="23" t="str">
        <x:v>https://pixelmonmod.com/wiki/Arctozolt</x:v>
      </x:c>
    </x:row>
    <x:row r="837" ht="54" customHeight="1">
      <x:c r="A837" s="27" t="n">
        <x:v>882</x:v>
      </x:c>
      <x:c r="B837" s="23" t="str">
        <x:v>Hydragon</x:v>
      </x:c>
      <x:c r="C837" s="23" t="str">
        <x:v>Dracovish</x:v>
      </x:c>
      <x:c r="D837" s="23" t="str">
        <x:v>Eau</x:v>
      </x:c>
      <x:c r="E837" s="23" t="str">
        <x:v>Dragon</x:v>
      </x:c>
      <x:c r="F837" s="23" t="str">
        <x:v>Very Rare</x:v>
      </x:c>
      <x:c r="G837" s="45" t="n">
        <x:v>30000</x:v>
      </x:c>
      <x:c r="H837" s="45" t="n">
        <x:f>IF(G837="","",ROUNDUP(G837*3,0))</x:f>
        <x:v>90000</x:v>
      </x:c>
      <x:c r="I837" s="41" t="n">
        <x:v>1</x:v>
      </x:c>
      <x:c r="J837" s="42" t="n">
        <x:v>90</x:v>
      </x:c>
      <x:c r="K837" s="42" t="n">
        <x:v>90</x:v>
      </x:c>
      <x:c r="L837" s="42" t="n">
        <x:v>100</x:v>
      </x:c>
      <x:c r="M837" s="42" t="n">
        <x:v>70</x:v>
      </x:c>
      <x:c r="N837" s="42" t="n">
        <x:v>80</x:v>
      </x:c>
      <x:c r="O837" s="42" t="n">
        <x:v>75</x:v>
      </x:c>
      <x:c r="P837" s="43" t="n">
        <x:f>IF(COUNT(J837:O837)=0,"",SUM(J837:O837))</x:f>
        <x:v>505</x:v>
      </x:c>
      <x:c r="Q837" s="23" t="str">
        <x:v>1 lignes de spawn</x:v>
      </x:c>
      <x:c r="R837" s="23" t="str">
        <x:v>Ses puissantes pattes et mâchoires en faisaient le prédateur suprême de son époque. Mais sa propre surchasse a entraîné son extinction.</x:v>
      </x:c>
      <x:c r="S837" s="23" t="str">
        <x:v>Very Rare aligné sur le palier Super Rare (provisoire).</x:v>
      </x:c>
      <x:c r="T837" s="23" t="str">
        <x:v>https://pixelmonmod.com/wiki/Dracovish</x:v>
      </x:c>
    </x:row>
    <x:row r="838" ht="54" customHeight="1">
      <x:c r="A838" s="27" t="n">
        <x:v>883</x:v>
      </x:c>
      <x:c r="B838" s="23" t="str">
        <x:v>Hydragla</x:v>
      </x:c>
      <x:c r="C838" s="23" t="str">
        <x:v>Arctovish</x:v>
      </x:c>
      <x:c r="D838" s="23" t="str">
        <x:v>Eau</x:v>
      </x:c>
      <x:c r="E838" s="23" t="str">
        <x:v>Glace</x:v>
      </x:c>
      <x:c r="F838" s="23" t="str">
        <x:v>Very Rare</x:v>
      </x:c>
      <x:c r="G838" s="45" t="n">
        <x:v>30000</x:v>
      </x:c>
      <x:c r="H838" s="45" t="n">
        <x:f>IF(G838="","",ROUNDUP(G838*3,0))</x:f>
        <x:v>90000</x:v>
      </x:c>
      <x:c r="I838" s="41" t="n">
        <x:v>1</x:v>
      </x:c>
      <x:c r="J838" s="42" t="n">
        <x:v>90</x:v>
      </x:c>
      <x:c r="K838" s="42" t="n">
        <x:v>90</x:v>
      </x:c>
      <x:c r="L838" s="42" t="n">
        <x:v>100</x:v>
      </x:c>
      <x:c r="M838" s="42" t="n">
        <x:v>80</x:v>
      </x:c>
      <x:c r="N838" s="42" t="n">
        <x:v>90</x:v>
      </x:c>
      <x:c r="O838" s="42" t="n">
        <x:v>55</x:v>
      </x:c>
      <x:c r="P838" s="43" t="n">
        <x:f>IF(COUNT(J838:O838)=0,"",SUM(J838:O838))</x:f>
        <x:v>505</x:v>
      </x:c>
      <x:c r="Q838" s="23" t="str">
        <x:v>1 lignes de spawn</x:v>
      </x:c>
      <x:c r="R838" s="23" t="str">
        <x:v>Bien qu'il puisse capturer ses proies en gelant ce qui l'entoure, il a du mal à les manger, sa bouche se trouvant au-dessus de sa tête.</x:v>
      </x:c>
      <x:c r="S838" s="23" t="str">
        <x:v>Very Rare aligné sur le palier Super Rare (provisoire).</x:v>
      </x:c>
      <x:c r="T838" s="23" t="str">
        <x:v>https://pixelmonmod.com/wiki/Arctovish</x:v>
      </x:c>
    </x:row>
    <x:row r="839" ht="54" customHeight="1">
      <x:c r="A839" s="27" t="n">
        <x:v>884</x:v>
      </x:c>
      <x:c r="B839" s="23" t="str">
        <x:v>Duralugon</x:v>
      </x:c>
      <x:c r="C839" s="23" t="str">
        <x:v>Duraludon</x:v>
      </x:c>
      <x:c r="D839" s="23" t="str">
        <x:v>Acier</x:v>
      </x:c>
      <x:c r="E839" s="23" t="str">
        <x:v>Dragon</x:v>
      </x:c>
      <x:c r="F839" s="23" t="str">
        <x:v>Ultra Rare</x:v>
      </x:c>
      <x:c r="G839" s="45" t="n">
        <x:v>75000</x:v>
      </x:c>
      <x:c r="H839" s="45" t="n">
        <x:f>IF(G839="","",ROUNDUP(G839*3,0))</x:f>
        <x:v>225000</x:v>
      </x:c>
      <x:c r="I839" s="41" t="n">
        <x:v>1</x:v>
      </x:c>
      <x:c r="J839" s="42" t="n">
        <x:v>70</x:v>
      </x:c>
      <x:c r="K839" s="42" t="n">
        <x:v>95</x:v>
      </x:c>
      <x:c r="L839" s="42" t="n">
        <x:v>115</x:v>
      </x:c>
      <x:c r="M839" s="42" t="n">
        <x:v>120</x:v>
      </x:c>
      <x:c r="N839" s="42" t="n">
        <x:v>50</x:v>
      </x:c>
      <x:c r="O839" s="42" t="n">
        <x:v>85</x:v>
      </x:c>
      <x:c r="P839" s="43" t="n">
        <x:f>IF(COUNT(J839:O839)=0,"",SUM(J839:O839))</x:f>
        <x:v>535</x:v>
      </x:c>
      <x:c r="Q839" s="23" t="str">
        <x:v>1 lignes de spawn</x:v>
      </x:c>
      <x:c r="R839" s="23" t="str">
        <x:v>Son corps ressemble à du métal poli ; il est à la fois léger et solide. Son seul défaut est de rouiller facilement.</x:v>
      </x:c>
      <x:c r="S839" s="23" t="str"/>
      <x:c r="T839" s="23" t="str">
        <x:v>https://pixelmonmod.com/wiki/Duraludon</x:v>
      </x:c>
    </x:row>
    <x:row r="840" ht="54" customHeight="1">
      <x:c r="A840" s="27" t="n">
        <x:v>885</x:v>
      </x:c>
      <x:c r="B840" s="23" t="str">
        <x:v>Fantyrm</x:v>
      </x:c>
      <x:c r="C840" s="23" t="str">
        <x:v>Dreepy</x:v>
      </x:c>
      <x:c r="D840" s="23" t="str">
        <x:v>Dragon</x:v>
      </x:c>
      <x:c r="E840" s="23" t="str">
        <x:v>Spectre</x:v>
      </x:c>
      <x:c r="F840" s="23" t="str">
        <x:v>Rare</x:v>
      </x:c>
      <x:c r="G840" s="45" t="n">
        <x:v>12000</x:v>
      </x:c>
      <x:c r="H840" s="45" t="n">
        <x:f>IF(G840="","",ROUNDUP(G840*3,0))</x:f>
        <x:v>36000</x:v>
      </x:c>
      <x:c r="I840" s="41" t="n">
        <x:v>0.75</x:v>
      </x:c>
      <x:c r="J840" s="42" t="n">
        <x:v>28</x:v>
      </x:c>
      <x:c r="K840" s="42" t="n">
        <x:v>60</x:v>
      </x:c>
      <x:c r="L840" s="42" t="n">
        <x:v>30</x:v>
      </x:c>
      <x:c r="M840" s="42" t="n">
        <x:v>40</x:v>
      </x:c>
      <x:c r="N840" s="42" t="n">
        <x:v>30</x:v>
      </x:c>
      <x:c r="O840" s="42" t="n">
        <x:v>82</x:v>
      </x:c>
      <x:c r="P840" s="43" t="n">
        <x:f>IF(COUNT(J840:O840)=0,"",SUM(J840:O840))</x:f>
        <x:v>270</x:v>
      </x:c>
      <x:c r="Q840" s="23" t="str">
        <x:v>4 lignes de spawn</x:v>
      </x:c>
      <x:c r="R840" s="23" t="str">
        <x:v>Après être devenu un Pokémon Spectre, Fantyrm erre dans les zones qu'il habitait lorsqu'il vivait encore dans les mers préhistoriques.</x:v>
      </x:c>
      <x:c r="S840" s="23" t="str"/>
      <x:c r="T840" s="23" t="str">
        <x:v>https://pixelmonmod.com/wiki/Dreepy</x:v>
      </x:c>
    </x:row>
    <x:row r="841" ht="54" customHeight="1">
      <x:c r="A841" s="27" t="n">
        <x:v>886</x:v>
      </x:c>
      <x:c r="B841" s="23" t="str">
        <x:v>Dispareptil</x:v>
      </x:c>
      <x:c r="C841" s="23" t="str">
        <x:v>Drakloak</x:v>
      </x:c>
      <x:c r="D841" s="23" t="str">
        <x:v>Dragon</x:v>
      </x:c>
      <x:c r="E841" s="23" t="str">
        <x:v>Spectre</x:v>
      </x:c>
      <x:c r="F841" s="23" t="str">
        <x:v>Ultra Rare</x:v>
      </x:c>
      <x:c r="G841" s="45" t="n">
        <x:v>75000</x:v>
      </x:c>
      <x:c r="H841" s="45" t="n">
        <x:f>IF(G841="","",ROUNDUP(G841*3,0))</x:f>
        <x:v>225000</x:v>
      </x:c>
      <x:c r="I841" s="41" t="n">
        <x:v>1</x:v>
      </x:c>
      <x:c r="J841" s="42" t="n">
        <x:v>68</x:v>
      </x:c>
      <x:c r="K841" s="42" t="n">
        <x:v>80</x:v>
      </x:c>
      <x:c r="L841" s="42" t="n">
        <x:v>50</x:v>
      </x:c>
      <x:c r="M841" s="42" t="n">
        <x:v>60</x:v>
      </x:c>
      <x:c r="N841" s="42" t="n">
        <x:v>50</x:v>
      </x:c>
      <x:c r="O841" s="42" t="n">
        <x:v>102</x:v>
      </x:c>
      <x:c r="P841" s="43" t="n">
        <x:f>IF(COUNT(J841:O841)=0,"",SUM(J841:O841))</x:f>
        <x:v>410</x:v>
      </x:c>
      <x:c r="Q841" s="23" t="str">
        <x:v>4 lignes de spawn</x:v>
      </x:c>
      <x:c r="R841" s="23" t="str">
        <x:v>Il peut voler à plus de 200 km/h. Il se bat aux côtés de Fantyrm et prend soin d'eux jusqu'à ce qu'ils évoluent.</x:v>
      </x:c>
      <x:c r="S841" s="23" t="str"/>
      <x:c r="T841" s="23" t="str">
        <x:v>https://pixelmonmod.com/wiki/Drakloak</x:v>
      </x:c>
    </x:row>
    <x:row r="842" ht="54" customHeight="1">
      <x:c r="A842" s="27" t="n">
        <x:v>887</x:v>
      </x:c>
      <x:c r="B842" s="23" t="str">
        <x:v>Lanssorien</x:v>
      </x:c>
      <x:c r="C842" s="23" t="str">
        <x:v>Dragapult</x:v>
      </x:c>
      <x:c r="D842" s="23" t="str">
        <x:v>Dragon</x:v>
      </x:c>
      <x:c r="E842" s="23" t="str">
        <x:v>Spectre</x:v>
      </x:c>
      <x:c r="F842" s="23" t="str">
        <x:v>Ultra Rare</x:v>
      </x:c>
      <x:c r="G842" s="45" t="n">
        <x:v>75000</x:v>
      </x:c>
      <x:c r="H842" s="45" t="n">
        <x:f>IF(G842="","",ROUNDUP(G842*3,0))</x:f>
        <x:v>225000</x:v>
      </x:c>
      <x:c r="I842" s="41" t="n">
        <x:v>1</x:v>
      </x:c>
      <x:c r="J842" s="42" t="n">
        <x:v>88</x:v>
      </x:c>
      <x:c r="K842" s="42" t="n">
        <x:v>120</x:v>
      </x:c>
      <x:c r="L842" s="42" t="n">
        <x:v>75</x:v>
      </x:c>
      <x:c r="M842" s="42" t="n">
        <x:v>100</x:v>
      </x:c>
      <x:c r="N842" s="42" t="n">
        <x:v>75</x:v>
      </x:c>
      <x:c r="O842" s="42" t="n">
        <x:v>142</x:v>
      </x:c>
      <x:c r="P842" s="43" t="n">
        <x:f>IF(COUNT(J842:O842)=0,"",SUM(J842:O842))</x:f>
        <x:v>600</x:v>
      </x:c>
      <x:c r="Q842" s="23" t="str">
        <x:v>4 lignes de spawn</x:v>
      </x:c>
      <x:c r="R842" s="23" t="str">
        <x:v>Quand il ne combat pas, il garde les Fantyrm dans les trous de ses cornes. Dès qu'une bataille commence, il les propulse comme des missiles supersoniques.</x:v>
      </x:c>
      <x:c r="S842" s="23" t="str"/>
      <x:c r="T842" s="23" t="str">
        <x:v>https://pixelmonmod.com/wiki/Dragapult</x:v>
      </x:c>
    </x:row>
    <x:row r="843" ht="54" customHeight="1">
      <x:c r="A843" s="27" t="n">
        <x:v>893</x:v>
      </x:c>
      <x:c r="B843" s="23" t="str">
        <x:v>Zarude</x:v>
      </x:c>
      <x:c r="C843" s="23" t="str">
        <x:v>Zarude</x:v>
      </x:c>
      <x:c r="D843" s="23" t="str">
        <x:v>Ténèbres</x:v>
      </x:c>
      <x:c r="E843" s="23" t="str">
        <x:v>Plante</x:v>
      </x:c>
      <x:c r="F843" s="23" t="str">
        <x:v>Non classé</x:v>
      </x:c>
      <x:c r="G843" s="45"/>
      <x:c r="H843" s="45" t="str">
        <x:f>IF(G843="","",ROUNDUP(G843*3,0))</x:f>
      </x:c>
      <x:c r="I843" s="41"/>
      <x:c r="J843" s="42" t="n">
        <x:v>105</x:v>
      </x:c>
      <x:c r="K843" s="42" t="n">
        <x:v>120</x:v>
      </x:c>
      <x:c r="L843" s="42" t="n">
        <x:v>105</x:v>
      </x:c>
      <x:c r="M843" s="42" t="n">
        <x:v>70</x:v>
      </x:c>
      <x:c r="N843" s="42" t="n">
        <x:v>95</x:v>
      </x:c>
      <x:c r="O843" s="42" t="n">
        <x:v>105</x:v>
      </x:c>
      <x:c r="P843" s="43" t="n">
        <x:f>IF(COUNT(J843:O843)=0,"",SUM(J843:O843))</x:f>
        <x:v>600</x:v>
      </x:c>
      <x:c r="Q843" s="23" t="str">
        <x:v>Aucune ligne classée</x:v>
      </x:c>
      <x:c r="R843" s="23" t="str">
        <x:v>Au cœur des forêts denses, ce Pokémon vit en meute avec ses semblables. Il est extrêmement agressif, et les autres Pokémon de la forêt le craignent.</x:v>
      </x:c>
      <x:c r="S843" s="23" t="str">
        <x:v>Fabuleux : vente et prix à valider.</x:v>
      </x:c>
      <x:c r="T843" s="23" t="str">
        <x:v>https://pixelmonmod.com/wiki/Zarude</x:v>
      </x:c>
    </x:row>
    <x:row r="844" ht="54" customHeight="1">
      <x:c r="A844" s="27" t="n">
        <x:v>899</x:v>
      </x:c>
      <x:c r="B844" s="23" t="str">
        <x:v>Cerbyllin</x:v>
      </x:c>
      <x:c r="C844" s="23" t="str">
        <x:v>Wyrdeer</x:v>
      </x:c>
      <x:c r="D844" s="23" t="str">
        <x:v>Normal</x:v>
      </x:c>
      <x:c r="E844" s="23" t="str">
        <x:v>Psy</x:v>
      </x:c>
      <x:c r="F844" s="23" t="str">
        <x:v>Ultra Rare</x:v>
      </x:c>
      <x:c r="G844" s="45" t="n">
        <x:v>75000</x:v>
      </x:c>
      <x:c r="H844" s="45" t="n">
        <x:f>IF(G844="","",ROUNDUP(G844*3,0))</x:f>
        <x:v>225000</x:v>
      </x:c>
      <x:c r="I844" s="41" t="n">
        <x:v>1</x:v>
      </x:c>
      <x:c r="J844" s="42" t="n">
        <x:v>103</x:v>
      </x:c>
      <x:c r="K844" s="42" t="n">
        <x:v>105</x:v>
      </x:c>
      <x:c r="L844" s="42" t="n">
        <x:v>72</x:v>
      </x:c>
      <x:c r="M844" s="42" t="n">
        <x:v>105</x:v>
      </x:c>
      <x:c r="N844" s="42" t="n">
        <x:v>75</x:v>
      </x:c>
      <x:c r="O844" s="42" t="n">
        <x:v>65</x:v>
      </x:c>
      <x:c r="P844" s="43" t="n">
        <x:f>IF(COUNT(J844:O844)=0,"",SUM(J844:O844))</x:f>
        <x:v>525</x:v>
      </x:c>
      <x:c r="Q844" s="23" t="str">
        <x:v>3 lignes de spawn</x:v>
      </x:c>
      <x:c r="R844" s="23" t="str">
        <x:v>Les orbes noires illuminent d'une lueur étrange lorsque le Pokémon érige des barrières invisibles. La fourrure tombée de sa barbe retient bien la chaleur et constitue un matériau très utile pour les vêtements d'hiver.</x:v>
      </x:c>
      <x:c r="S844" s="23" t="str"/>
      <x:c r="T844" s="23" t="str">
        <x:v>https://pixelmonmod.com/wiki/Wyrdeer</x:v>
      </x:c>
    </x:row>
    <x:row r="845" ht="54" customHeight="1">
      <x:c r="A845" s="27" t="n">
        <x:v>900</x:v>
      </x:c>
      <x:c r="B845" s="23" t="str">
        <x:v>Hachécateur</x:v>
      </x:c>
      <x:c r="C845" s="23" t="str">
        <x:v>Kleavor</x:v>
      </x:c>
      <x:c r="D845" s="23" t="str">
        <x:v>Insecte</x:v>
      </x:c>
      <x:c r="E845" s="23" t="str">
        <x:v>Roche</x:v>
      </x:c>
      <x:c r="F845" s="23" t="str">
        <x:v>Ultra Rare</x:v>
      </x:c>
      <x:c r="G845" s="45" t="n">
        <x:v>75000</x:v>
      </x:c>
      <x:c r="H845" s="45" t="n">
        <x:f>IF(G845="","",ROUNDUP(G845*3,0))</x:f>
        <x:v>225000</x:v>
      </x:c>
      <x:c r="I845" s="41" t="n">
        <x:v>1</x:v>
      </x:c>
      <x:c r="J845" s="42" t="n">
        <x:v>70</x:v>
      </x:c>
      <x:c r="K845" s="42" t="n">
        <x:v>135</x:v>
      </x:c>
      <x:c r="L845" s="42" t="n">
        <x:v>95</x:v>
      </x:c>
      <x:c r="M845" s="42" t="n">
        <x:v>45</x:v>
      </x:c>
      <x:c r="N845" s="42" t="n">
        <x:v>70</x:v>
      </x:c>
      <x:c r="O845" s="42" t="n">
        <x:v>85</x:v>
      </x:c>
      <x:c r="P845" s="43" t="n">
        <x:f>IF(COUNT(J845:O845)=0,"",SUM(J845:O845))</x:f>
        <x:v>500</x:v>
      </x:c>
      <x:c r="Q845" s="23" t="str">
        <x:v>2 lignes de spawn</x:v>
      </x:c>
      <x:c r="R845" s="23" t="str">
        <x:v>Une créature violente qui abat les arbres gigantesques avec ses haches grossières et se protège avec de la pierre dure. Si on le croise à l'état sauvage, la seule solution est de fuir.</x:v>
      </x:c>
      <x:c r="S845" s="23" t="str"/>
      <x:c r="T845" s="23" t="str">
        <x:v>https://pixelmonmod.com/wiki/Kleavor</x:v>
      </x:c>
    </x:row>
    <x:row r="846" ht="54" customHeight="1">
      <x:c r="A846" s="27" t="n">
        <x:v>901</x:v>
      </x:c>
      <x:c r="B846" s="23" t="str">
        <x:v>Ursaking</x:v>
      </x:c>
      <x:c r="C846" s="23" t="str">
        <x:v>Ursaluna</x:v>
      </x:c>
      <x:c r="D846" s="23" t="str">
        <x:v>Sol</x:v>
      </x:c>
      <x:c r="E846" s="23" t="str">
        <x:v>Normal</x:v>
      </x:c>
      <x:c r="F846" s="23" t="str">
        <x:v>Ultra Rare</x:v>
      </x:c>
      <x:c r="G846" s="45" t="n">
        <x:v>75000</x:v>
      </x:c>
      <x:c r="H846" s="45" t="n">
        <x:f>IF(G846="","",ROUNDUP(G846*3,0))</x:f>
        <x:v>225000</x:v>
      </x:c>
      <x:c r="I846" s="41" t="n">
        <x:v>1</x:v>
      </x:c>
      <x:c r="J846" s="42" t="n">
        <x:v>130</x:v>
      </x:c>
      <x:c r="K846" s="42" t="n">
        <x:v>140</x:v>
      </x:c>
      <x:c r="L846" s="42" t="n">
        <x:v>105</x:v>
      </x:c>
      <x:c r="M846" s="42" t="n">
        <x:v>45</x:v>
      </x:c>
      <x:c r="N846" s="42" t="n">
        <x:v>80</x:v>
      </x:c>
      <x:c r="O846" s="42" t="n">
        <x:v>50</x:v>
      </x:c>
      <x:c r="P846" s="43" t="n">
        <x:f>IF(COUNT(J846:O846)=0,"",SUM(J846:O846))</x:f>
        <x:v>550</x:v>
      </x:c>
      <x:c r="Q846" s="23" t="str">
        <x:v>2 lignes de spawn</x:v>
      </x:c>
      <x:c r="R846" s="23" t="str">
        <x:v>C'est le terrain marécageux de Hisui qui a donné à Ursaking sa carrure imposante et sa nouvelle capacité à manipuler la tourbe à volonté.</x:v>
      </x:c>
      <x:c r="S846" s="23" t="str"/>
      <x:c r="T846" s="23" t="str">
        <x:v>https://pixelmonmod.com/wiki/Ursaluna</x:v>
      </x:c>
    </x:row>
    <x:row r="847" ht="54" customHeight="1">
      <x:c r="A847" s="27" t="n">
        <x:v>902</x:v>
      </x:c>
      <x:c r="B847" s="23" t="str">
        <x:v>Paragruel</x:v>
      </x:c>
      <x:c r="C847" s="23" t="str">
        <x:v>Basculegion</x:v>
      </x:c>
      <x:c r="D847" s="23" t="str">
        <x:v>Eau</x:v>
      </x:c>
      <x:c r="E847" s="23" t="str">
        <x:v>Spectre</x:v>
      </x:c>
      <x:c r="F847" s="23" t="str">
        <x:v>Ultra Rare</x:v>
      </x:c>
      <x:c r="G847" s="45" t="n">
        <x:v>75000</x:v>
      </x:c>
      <x:c r="H847" s="45" t="n">
        <x:f>IF(G847="","",ROUNDUP(G847*3,0))</x:f>
        <x:v>225000</x:v>
      </x:c>
      <x:c r="I847" s="41" t="n">
        <x:v>1</x:v>
      </x:c>
      <x:c r="J847" s="42" t="n">
        <x:v>120</x:v>
      </x:c>
      <x:c r="K847" s="42" t="n">
        <x:v>112</x:v>
      </x:c>
      <x:c r="L847" s="42" t="n">
        <x:v>65</x:v>
      </x:c>
      <x:c r="M847" s="42" t="n">
        <x:v>80</x:v>
      </x:c>
      <x:c r="N847" s="42" t="n">
        <x:v>75</x:v>
      </x:c>
      <x:c r="O847" s="42" t="n">
        <x:v>78</x:v>
      </x:c>
      <x:c r="P847" s="43" t="n">
        <x:f>IF(COUNT(J847:O847)=0,"",SUM(J847:O847))</x:f>
        <x:v>530</x:v>
      </x:c>
      <x:c r="Q847" s="23" t="str">
        <x:v>9 lignes de spawn</x:v>
      </x:c>
      <x:c r="R847" s="23" t="str">
        <x:v>Il se drape des âmes de ses camarades morts avant d'avoir pu remonter les cours d'eau comme ils en rêvaient. Nulle autre espèce dans les rivières de Hisui n'égale Paragruel.</x:v>
      </x:c>
      <x:c r="S847" s="23" t="str"/>
      <x:c r="T847" s="23" t="str">
        <x:v>https://pixelmonmod.com/wiki/Basculegion</x:v>
      </x:c>
    </x:row>
    <x:row r="848" ht="54" customHeight="1">
      <x:c r="A848" s="27" t="n">
        <x:v>903</x:v>
      </x:c>
      <x:c r="B848" s="23" t="str">
        <x:v>Félinferno (NON!) / Correction : Sneasler → Farfurex</x:v>
      </x:c>
      <x:c r="C848" s="23" t="str">
        <x:v>Sneasler</x:v>
      </x:c>
      <x:c r="D848" s="23" t="str">
        <x:v>Combat</x:v>
      </x:c>
      <x:c r="E848" s="23" t="str">
        <x:v>Poison</x:v>
      </x:c>
      <x:c r="F848" s="23" t="str">
        <x:v>Ultra Rare</x:v>
      </x:c>
      <x:c r="G848" s="45" t="n">
        <x:v>75000</x:v>
      </x:c>
      <x:c r="H848" s="45" t="n">
        <x:f>IF(G848="","",ROUNDUP(G848*3,0))</x:f>
        <x:v>225000</x:v>
      </x:c>
      <x:c r="I848" s="41" t="n">
        <x:v>1</x:v>
      </x:c>
      <x:c r="J848" s="42" t="n">
        <x:v>80</x:v>
      </x:c>
      <x:c r="K848" s="42" t="n">
        <x:v>130</x:v>
      </x:c>
      <x:c r="L848" s="42" t="n">
        <x:v>60</x:v>
      </x:c>
      <x:c r="M848" s="42" t="n">
        <x:v>40</x:v>
      </x:c>
      <x:c r="N848" s="42" t="n">
        <x:v>80</x:v>
      </x:c>
      <x:c r="O848" s="42" t="n">
        <x:v>120</x:v>
      </x:c>
      <x:c r="P848" s="43" t="n">
        <x:f>IF(COUNT(J848:O848)=0,"",SUM(J848:O848))</x:f>
        <x:v>510</x:v>
      </x:c>
      <x:c r="Q848" s="23" t="str">
        <x:v>1 lignes de spawn</x:v>
      </x:c>
      <x:c r="R848" s="23" t="str">
        <x:v>Grâce à son poison virulent et à sa redoutable puissance physique, aucun autre Pokémon ne peut rivaliser avec lui dans les hautes terres gelées. Solitaire, il ne vit pas en groupe.</x:v>
      </x:c>
      <x:c r="S848" s="23" t="str"/>
      <x:c r="T848" s="23" t="str">
        <x:v>https://pixelmonmod.com/wiki/Sneasler</x:v>
      </x:c>
    </x:row>
    <x:row r="849" ht="54" customHeight="1">
      <x:c r="A849" s="27" t="n">
        <x:v>904</x:v>
      </x:c>
      <x:c r="B849" s="23" t="str">
        <x:v>Qwilpik</x:v>
      </x:c>
      <x:c r="C849" s="23" t="str">
        <x:v>Overqwil</x:v>
      </x:c>
      <x:c r="D849" s="23" t="str">
        <x:v>Ténèbres</x:v>
      </x:c>
      <x:c r="E849" s="23" t="str">
        <x:v>Poison</x:v>
      </x:c>
      <x:c r="F849" s="23" t="str">
        <x:v>Ultra Rare</x:v>
      </x:c>
      <x:c r="G849" s="45" t="n">
        <x:v>75000</x:v>
      </x:c>
      <x:c r="H849" s="45" t="n">
        <x:f>IF(G849="","",ROUNDUP(G849*3,0))</x:f>
        <x:v>225000</x:v>
      </x:c>
      <x:c r="I849" s="41" t="n">
        <x:v>1</x:v>
      </x:c>
      <x:c r="J849" s="42" t="n">
        <x:v>85</x:v>
      </x:c>
      <x:c r="K849" s="42" t="n">
        <x:v>115</x:v>
      </x:c>
      <x:c r="L849" s="42" t="n">
        <x:v>95</x:v>
      </x:c>
      <x:c r="M849" s="42" t="n">
        <x:v>65</x:v>
      </x:c>
      <x:c r="N849" s="42" t="n">
        <x:v>65</x:v>
      </x:c>
      <x:c r="O849" s="42" t="n">
        <x:v>85</x:v>
      </x:c>
      <x:c r="P849" s="43" t="n">
        <x:f>IF(COUNT(J849:O849)=0,"",SUM(J849:O849))</x:f>
        <x:v>510</x:v>
      </x:c>
      <x:c r="Q849" s="23" t="str">
        <x:v>11 lignes de spawn</x:v>
      </x:c>
      <x:c r="R849" s="23" t="str">
        <x:v>Ses piquants semblables à des lances et son tempérament féroce lui ont valu le surnom de « démon des mers ». Il aspire du poison pour se nourrir.</x:v>
      </x:c>
      <x:c r="S849" s="23" t="str"/>
      <x:c r="T849" s="23" t="str">
        <x:v>https://pixelmonmod.com/wiki/Overqwil</x:v>
      </x:c>
    </x:row>
    <x:row r="850" ht="54" customHeight="1">
      <x:c r="A850" s="27" t="n">
        <x:v>906</x:v>
      </x:c>
      <x:c r="B850" s="23" t="str">
        <x:v>Poussacha</x:v>
      </x:c>
      <x:c r="C850" s="23" t="str">
        <x:v>Sprigatito</x:v>
      </x:c>
      <x:c r="D850" s="23" t="str">
        <x:v>Plante</x:v>
      </x:c>
      <x:c r="E850" s="23" t="str"/>
      <x:c r="F850" s="23" t="str">
        <x:v>Ultra Rare</x:v>
      </x:c>
      <x:c r="G850" s="45" t="n">
        <x:v>75000</x:v>
      </x:c>
      <x:c r="H850" s="45" t="n">
        <x:f>IF(G850="","",ROUNDUP(G850*3,0))</x:f>
        <x:v>225000</x:v>
      </x:c>
      <x:c r="I850" s="41" t="n">
        <x:v>1</x:v>
      </x:c>
      <x:c r="J850" s="42" t="n">
        <x:v>40</x:v>
      </x:c>
      <x:c r="K850" s="42" t="n">
        <x:v>61</x:v>
      </x:c>
      <x:c r="L850" s="42" t="n">
        <x:v>54</x:v>
      </x:c>
      <x:c r="M850" s="42" t="n">
        <x:v>45</x:v>
      </x:c>
      <x:c r="N850" s="42" t="n">
        <x:v>45</x:v>
      </x:c>
      <x:c r="O850" s="42" t="n">
        <x:v>65</x:v>
      </x:c>
      <x:c r="P850" s="43" t="n">
        <x:f>IF(COUNT(J850:O850)=0,"",SUM(J850:O850))</x:f>
        <x:v>310</x:v>
      </x:c>
      <x:c r="Q850" s="23" t="str">
        <x:v>5 lignes de spawn</x:v>
      </x:c>
      <x:c r="R850" s="23" t="str">
        <x:v>Sa fourrure duveteuse est similaire, dans sa composition, à celle des plantes. Ce Pokémon se lave fréquemment le visage pour éviter qu'il ne se dessèche.</x:v>
      </x:c>
      <x:c r="S850" s="23" t="str"/>
      <x:c r="T850" s="23" t="str">
        <x:v>https://pixelmonmod.com/wiki/Sprigatito</x:v>
      </x:c>
    </x:row>
    <x:row r="851" ht="54" customHeight="1">
      <x:c r="A851" s="27" t="n">
        <x:v>907</x:v>
      </x:c>
      <x:c r="B851" s="23" t="str">
        <x:v>Matourgeon</x:v>
      </x:c>
      <x:c r="C851" s="23" t="str">
        <x:v>Floragato</x:v>
      </x:c>
      <x:c r="D851" s="23" t="str">
        <x:v>Plante</x:v>
      </x:c>
      <x:c r="E851" s="23" t="str"/>
      <x:c r="F851" s="23" t="str">
        <x:v>Ultra Rare</x:v>
      </x:c>
      <x:c r="G851" s="45" t="n">
        <x:v>75000</x:v>
      </x:c>
      <x:c r="H851" s="45" t="n">
        <x:f>IF(G851="","",ROUNDUP(G851*3,0))</x:f>
        <x:v>225000</x:v>
      </x:c>
      <x:c r="I851" s="41" t="n">
        <x:v>1</x:v>
      </x:c>
      <x:c r="J851" s="42" t="n">
        <x:v>61</x:v>
      </x:c>
      <x:c r="K851" s="42" t="n">
        <x:v>80</x:v>
      </x:c>
      <x:c r="L851" s="42" t="n">
        <x:v>63</x:v>
      </x:c>
      <x:c r="M851" s="42" t="n">
        <x:v>60</x:v>
      </x:c>
      <x:c r="N851" s="42" t="n">
        <x:v>63</x:v>
      </x:c>
      <x:c r="O851" s="42" t="n">
        <x:v>83</x:v>
      </x:c>
      <x:c r="P851" s="43" t="n">
        <x:f>IF(COUNT(J851:O851)=0,"",SUM(J851:O851))</x:f>
        <x:v>410</x:v>
      </x:c>
      <x:c r="Q851" s="23" t="str">
        <x:v>5 lignes de spawn</x:v>
      </x:c>
      <x:c r="R851" s="23" t="str">
        <x:v>Matourgeon manie habilement la liane cachée sous son long pelage, frappant ses adversaires avec le bourgeon durci.</x:v>
      </x:c>
      <x:c r="S851" s="23" t="str"/>
      <x:c r="T851" s="23" t="str">
        <x:v>https://pixelmonmod.com/wiki/Floragato</x:v>
      </x:c>
    </x:row>
    <x:row r="852" ht="54" customHeight="1">
      <x:c r="A852" s="27" t="n">
        <x:v>908</x:v>
      </x:c>
      <x:c r="B852" s="23" t="str">
        <x:v>Maskadra</x:v>
      </x:c>
      <x:c r="C852" s="23" t="str">
        <x:v>Meowscarada</x:v>
      </x:c>
      <x:c r="D852" s="23" t="str">
        <x:v>Plante</x:v>
      </x:c>
      <x:c r="E852" s="23" t="str">
        <x:v>Ténèbres</x:v>
      </x:c>
      <x:c r="F852" s="23" t="str">
        <x:v>Ultra Rare</x:v>
      </x:c>
      <x:c r="G852" s="45" t="n">
        <x:v>75000</x:v>
      </x:c>
      <x:c r="H852" s="45" t="n">
        <x:f>IF(G852="","",ROUNDUP(G852*3,0))</x:f>
        <x:v>225000</x:v>
      </x:c>
      <x:c r="I852" s="41" t="n">
        <x:v>1</x:v>
      </x:c>
      <x:c r="J852" s="42" t="n">
        <x:v>76</x:v>
      </x:c>
      <x:c r="K852" s="42" t="n">
        <x:v>110</x:v>
      </x:c>
      <x:c r="L852" s="42" t="n">
        <x:v>70</x:v>
      </x:c>
      <x:c r="M852" s="42" t="n">
        <x:v>81</x:v>
      </x:c>
      <x:c r="N852" s="42" t="n">
        <x:v>70</x:v>
      </x:c>
      <x:c r="O852" s="42" t="n">
        <x:v>123</x:v>
      </x:c>
      <x:c r="P852" s="43" t="n">
        <x:f>IF(COUNT(J852:O852)=0,"",SUM(J852:O852))</x:f>
        <x:v>530</x:v>
      </x:c>
      <x:c r="Q852" s="23" t="str">
        <x:v>5 lignes de spawn</x:v>
      </x:c>
      <x:c r="R852" s="23" t="str">
        <x:v>Ce Pokémon utilise la fourrure réfléchissante qui tapisse sa cape pour camoufler la tige de sa fleur, créant ainsi l'illusion qu'elle flotte dans les airs.</x:v>
      </x:c>
      <x:c r="S852" s="23" t="str"/>
      <x:c r="T852" s="23" t="str">
        <x:v>https://pixelmonmod.com/wiki/Meowscarada</x:v>
      </x:c>
    </x:row>
    <x:row r="853" ht="54" customHeight="1">
      <x:c r="A853" s="27" t="n">
        <x:v>909</x:v>
      </x:c>
      <x:c r="B853" s="23" t="str">
        <x:v>Chochodile</x:v>
      </x:c>
      <x:c r="C853" s="23" t="str">
        <x:v>Fuecoco</x:v>
      </x:c>
      <x:c r="D853" s="23" t="str">
        <x:v>Feu</x:v>
      </x:c>
      <x:c r="E853" s="23" t="str"/>
      <x:c r="F853" s="23" t="str">
        <x:v>Ultra Rare</x:v>
      </x:c>
      <x:c r="G853" s="45" t="n">
        <x:v>75000</x:v>
      </x:c>
      <x:c r="H853" s="45" t="n">
        <x:f>IF(G853="","",ROUNDUP(G853*3,0))</x:f>
        <x:v>225000</x:v>
      </x:c>
      <x:c r="I853" s="41" t="n">
        <x:v>1</x:v>
      </x:c>
      <x:c r="J853" s="42" t="n">
        <x:v>67</x:v>
      </x:c>
      <x:c r="K853" s="42" t="n">
        <x:v>45</x:v>
      </x:c>
      <x:c r="L853" s="42" t="n">
        <x:v>59</x:v>
      </x:c>
      <x:c r="M853" s="42" t="n">
        <x:v>63</x:v>
      </x:c>
      <x:c r="N853" s="42" t="n">
        <x:v>40</x:v>
      </x:c>
      <x:c r="O853" s="42" t="n">
        <x:v>36</x:v>
      </x:c>
      <x:c r="P853" s="43" t="n">
        <x:f>IF(COUNT(J853:O853)=0,"",SUM(J853:O853))</x:f>
        <x:v>310</x:v>
      </x:c>
      <x:c r="Q853" s="23" t="str">
        <x:v>1 lignes de spawn</x:v>
      </x:c>
      <x:c r="R853" s="23" t="str">
        <x:v>Il s'allonge sur des rochers chauds et utilise la chaleur absorbée par ses écailles carrées pour créer de l'énergie de feu.</x:v>
      </x:c>
      <x:c r="S853" s="23" t="str"/>
      <x:c r="T853" s="23" t="str">
        <x:v>https://pixelmonmod.com/wiki/Fuecoco</x:v>
      </x:c>
    </x:row>
    <x:row r="854" ht="54" customHeight="1">
      <x:c r="A854" s="27" t="n">
        <x:v>910</x:v>
      </x:c>
      <x:c r="B854" s="23" t="str">
        <x:v>Crocogril</x:v>
      </x:c>
      <x:c r="C854" s="23" t="str">
        <x:v>Crocalor</x:v>
      </x:c>
      <x:c r="D854" s="23" t="str">
        <x:v>Feu</x:v>
      </x:c>
      <x:c r="E854" s="23" t="str"/>
      <x:c r="F854" s="23" t="str">
        <x:v>Ultra Rare</x:v>
      </x:c>
      <x:c r="G854" s="45" t="n">
        <x:v>75000</x:v>
      </x:c>
      <x:c r="H854" s="45" t="n">
        <x:f>IF(G854="","",ROUNDUP(G854*3,0))</x:f>
        <x:v>225000</x:v>
      </x:c>
      <x:c r="I854" s="41" t="n">
        <x:v>1</x:v>
      </x:c>
      <x:c r="J854" s="42" t="n">
        <x:v>81</x:v>
      </x:c>
      <x:c r="K854" s="42" t="n">
        <x:v>55</x:v>
      </x:c>
      <x:c r="L854" s="42" t="n">
        <x:v>78</x:v>
      </x:c>
      <x:c r="M854" s="42" t="n">
        <x:v>90</x:v>
      </x:c>
      <x:c r="N854" s="42" t="n">
        <x:v>58</x:v>
      </x:c>
      <x:c r="O854" s="42" t="n">
        <x:v>49</x:v>
      </x:c>
      <x:c r="P854" s="43" t="n">
        <x:f>IF(COUNT(J854:O854)=0,"",SUM(J854:O854))</x:f>
        <x:v>411</x:v>
      </x:c>
      <x:c r="Q854" s="23" t="str">
        <x:v>1 lignes de spawn</x:v>
      </x:c>
      <x:c r="R854" s="23" t="str">
        <x:v>L'énergie de son feu combinée à sa vitalité débordante a donné naissance à une flamme en forme d'œuf sur sa tête.</x:v>
      </x:c>
      <x:c r="S854" s="23" t="str"/>
      <x:c r="T854" s="23" t="str">
        <x:v>https://pixelmonmod.com/wiki/Crocalor</x:v>
      </x:c>
    </x:row>
    <x:row r="855" ht="54" customHeight="1">
      <x:c r="A855" s="27" t="n">
        <x:v>911</x:v>
      </x:c>
      <x:c r="B855" s="23" t="str">
        <x:v>Flâmigator</x:v>
      </x:c>
      <x:c r="C855" s="23" t="str">
        <x:v>Skeledirge</x:v>
      </x:c>
      <x:c r="D855" s="23" t="str">
        <x:v>Feu</x:v>
      </x:c>
      <x:c r="E855" s="23" t="str">
        <x:v>Spectre</x:v>
      </x:c>
      <x:c r="F855" s="23" t="str">
        <x:v>Ultra Rare</x:v>
      </x:c>
      <x:c r="G855" s="45" t="n">
        <x:v>75000</x:v>
      </x:c>
      <x:c r="H855" s="45" t="n">
        <x:f>IF(G855="","",ROUNDUP(G855*3,0))</x:f>
        <x:v>225000</x:v>
      </x:c>
      <x:c r="I855" s="41" t="n">
        <x:v>1</x:v>
      </x:c>
      <x:c r="J855" s="42" t="n">
        <x:v>104</x:v>
      </x:c>
      <x:c r="K855" s="42" t="n">
        <x:v>75</x:v>
      </x:c>
      <x:c r="L855" s="42" t="n">
        <x:v>100</x:v>
      </x:c>
      <x:c r="M855" s="42" t="n">
        <x:v>110</x:v>
      </x:c>
      <x:c r="N855" s="42" t="n">
        <x:v>75</x:v>
      </x:c>
      <x:c r="O855" s="42" t="n">
        <x:v>66</x:v>
      </x:c>
      <x:c r="P855" s="43" t="n">
        <x:f>IF(COUNT(J855:O855)=0,"",SUM(J855:O855))</x:f>
        <x:v>530</x:v>
      </x:c>
      <x:c r="Q855" s="23" t="str">
        <x:v>1 lignes de spawn</x:v>
      </x:c>
      <x:c r="R855" s="23" t="str">
        <x:v>L'oiseau de feu change de forme lorsque Flâmigator chante. On raconte qu'il serait né quand la boule de feu sur sa tête a acquis une âme.</x:v>
      </x:c>
      <x:c r="S855" s="23" t="str"/>
      <x:c r="T855" s="23" t="str">
        <x:v>https://pixelmonmod.com/wiki/Skeledirge</x:v>
      </x:c>
    </x:row>
    <x:row r="856" ht="54" customHeight="1">
      <x:c r="A856" s="27" t="n">
        <x:v>912</x:v>
      </x:c>
      <x:c r="B856" s="23" t="str">
        <x:v>Coiffeton</x:v>
      </x:c>
      <x:c r="C856" s="23" t="str">
        <x:v>Quaxly</x:v>
      </x:c>
      <x:c r="D856" s="23" t="str">
        <x:v>Eau</x:v>
      </x:c>
      <x:c r="E856" s="23" t="str"/>
      <x:c r="F856" s="23" t="str">
        <x:v>Ultra Rare</x:v>
      </x:c>
      <x:c r="G856" s="45" t="n">
        <x:v>75000</x:v>
      </x:c>
      <x:c r="H856" s="45" t="n">
        <x:f>IF(G856="","",ROUNDUP(G856*3,0))</x:f>
        <x:v>225000</x:v>
      </x:c>
      <x:c r="I856" s="41" t="n">
        <x:v>1</x:v>
      </x:c>
      <x:c r="J856" s="42" t="n">
        <x:v>55</x:v>
      </x:c>
      <x:c r="K856" s="42" t="n">
        <x:v>65</x:v>
      </x:c>
      <x:c r="L856" s="42" t="n">
        <x:v>45</x:v>
      </x:c>
      <x:c r="M856" s="42" t="n">
        <x:v>50</x:v>
      </x:c>
      <x:c r="N856" s="42" t="n">
        <x:v>45</x:v>
      </x:c>
      <x:c r="O856" s="42" t="n">
        <x:v>50</x:v>
      </x:c>
      <x:c r="P856" s="43" t="n">
        <x:f>IF(COUNT(J856:O856)=0,"",SUM(J856:O856))</x:f>
        <x:v>310</x:v>
      </x:c>
      <x:c r="Q856" s="23" t="str">
        <x:v>2 lignes de spawn</x:v>
      </x:c>
      <x:c r="R856" s="23" t="str">
        <x:v>Ce Pokémon a migré vers Paldea il y a fort longtemps, depuis des terres lointaines. Le gel sécrété par ses plumes repousse l'eau et la saleté.</x:v>
      </x:c>
      <x:c r="S856" s="23" t="str"/>
      <x:c r="T856" s="23" t="str">
        <x:v>https://pixelmonmod.com/wiki/Quaxly</x:v>
      </x:c>
    </x:row>
    <x:row r="857" ht="54" customHeight="1">
      <x:c r="A857" s="27" t="n">
        <x:v>913</x:v>
      </x:c>
      <x:c r="B857" s="23" t="str">
        <x:v>Canarbello</x:v>
      </x:c>
      <x:c r="C857" s="23" t="str">
        <x:v>Quaxwell</x:v>
      </x:c>
      <x:c r="D857" s="23" t="str">
        <x:v>Eau</x:v>
      </x:c>
      <x:c r="E857" s="23" t="str"/>
      <x:c r="F857" s="23" t="str">
        <x:v>Ultra Rare</x:v>
      </x:c>
      <x:c r="G857" s="45" t="n">
        <x:v>75000</x:v>
      </x:c>
      <x:c r="H857" s="45" t="n">
        <x:f>IF(G857="","",ROUNDUP(G857*3,0))</x:f>
        <x:v>225000</x:v>
      </x:c>
      <x:c r="I857" s="41" t="n">
        <x:v>1</x:v>
      </x:c>
      <x:c r="J857" s="42" t="n">
        <x:v>70</x:v>
      </x:c>
      <x:c r="K857" s="42" t="n">
        <x:v>85</x:v>
      </x:c>
      <x:c r="L857" s="42" t="n">
        <x:v>65</x:v>
      </x:c>
      <x:c r="M857" s="42" t="n">
        <x:v>65</x:v>
      </x:c>
      <x:c r="N857" s="42" t="n">
        <x:v>60</x:v>
      </x:c>
      <x:c r="O857" s="42" t="n">
        <x:v>65</x:v>
      </x:c>
      <x:c r="P857" s="43" t="n">
        <x:f>IF(COUNT(J857:O857)=0,"",SUM(J857:O857))</x:f>
        <x:v>410</x:v>
      </x:c>
      <x:c r="Q857" s="23" t="str">
        <x:v>2 lignes de spawn</x:v>
      </x:c>
      <x:c r="R857" s="23" t="str">
        <x:v>Ces Pokémon courent sans cesse dans les eaux peu profondes pour entraîner leurs jambes, puis rivalisent entre eux pour déterminer lequel donne les coups de pied les plus gracieux.</x:v>
      </x:c>
      <x:c r="S857" s="23" t="str"/>
      <x:c r="T857" s="23" t="str">
        <x:v>https://pixelmonmod.com/wiki/Quaxwell</x:v>
      </x:c>
    </x:row>
    <x:row r="858" ht="54" customHeight="1">
      <x:c r="A858" s="27" t="n">
        <x:v>914</x:v>
      </x:c>
      <x:c r="B858" s="23" t="str">
        <x:v>Palmaval</x:v>
      </x:c>
      <x:c r="C858" s="23" t="str">
        <x:v>Quaquaval</x:v>
      </x:c>
      <x:c r="D858" s="23" t="str">
        <x:v>Eau</x:v>
      </x:c>
      <x:c r="E858" s="23" t="str">
        <x:v>Combat</x:v>
      </x:c>
      <x:c r="F858" s="23" t="str">
        <x:v>Ultra Rare</x:v>
      </x:c>
      <x:c r="G858" s="45" t="n">
        <x:v>75000</x:v>
      </x:c>
      <x:c r="H858" s="45" t="n">
        <x:f>IF(G858="","",ROUNDUP(G858*3,0))</x:f>
        <x:v>225000</x:v>
      </x:c>
      <x:c r="I858" s="41" t="n">
        <x:v>1</x:v>
      </x:c>
      <x:c r="J858" s="42" t="n">
        <x:v>85</x:v>
      </x:c>
      <x:c r="K858" s="42" t="n">
        <x:v>120</x:v>
      </x:c>
      <x:c r="L858" s="42" t="n">
        <x:v>80</x:v>
      </x:c>
      <x:c r="M858" s="42" t="n">
        <x:v>85</x:v>
      </x:c>
      <x:c r="N858" s="42" t="n">
        <x:v>75</x:v>
      </x:c>
      <x:c r="O858" s="42" t="n">
        <x:v>85</x:v>
      </x:c>
      <x:c r="P858" s="43" t="n">
        <x:f>IF(COUNT(J858:O858)=0,"",SUM(J858:O858))</x:f>
        <x:v>530</x:v>
      </x:c>
      <x:c r="Q858" s="23" t="str">
        <x:v>2 lignes de spawn</x:v>
      </x:c>
      <x:c r="R858" s="23" t="str">
        <x:v>Un seul coup de pied de Palmaval peut faire rouler un camion. Ce Pokémon utilise la puissance de ses jambes pour exécuter des danses percutantes venues de contrées lointaines.</x:v>
      </x:c>
      <x:c r="S858" s="23" t="str"/>
      <x:c r="T858" s="23" t="str">
        <x:v>https://pixelmonmod.com/wiki/Quaquaval</x:v>
      </x:c>
    </x:row>
    <x:row r="859" ht="54" customHeight="1">
      <x:c r="A859" s="27" t="n">
        <x:v>915</x:v>
      </x:c>
      <x:c r="B859" s="23" t="str">
        <x:v>Gourmelet</x:v>
      </x:c>
      <x:c r="C859" s="23" t="str">
        <x:v>Lechonk</x:v>
      </x:c>
      <x:c r="D859" s="23" t="str">
        <x:v>Normal</x:v>
      </x:c>
      <x:c r="E859" s="23" t="str"/>
      <x:c r="F859" s="23" t="str">
        <x:v>Uncommon</x:v>
      </x:c>
      <x:c r="G859" s="45" t="n">
        <x:v>5000</x:v>
      </x:c>
      <x:c r="H859" s="45" t="n">
        <x:f>IF(G859="","",ROUNDUP(G859*3,0))</x:f>
        <x:v>15000</x:v>
      </x:c>
      <x:c r="I859" s="41" t="n">
        <x:v>1</x:v>
      </x:c>
      <x:c r="J859" s="42" t="n">
        <x:v>54</x:v>
      </x:c>
      <x:c r="K859" s="42" t="n">
        <x:v>45</x:v>
      </x:c>
      <x:c r="L859" s="42" t="n">
        <x:v>40</x:v>
      </x:c>
      <x:c r="M859" s="42" t="n">
        <x:v>35</x:v>
      </x:c>
      <x:c r="N859" s="42" t="n">
        <x:v>45</x:v>
      </x:c>
      <x:c r="O859" s="42" t="n">
        <x:v>35</x:v>
      </x:c>
      <x:c r="P859" s="43" t="n">
        <x:f>IF(COUNT(J859:O859)=0,"",SUM(J859:O859))</x:f>
        <x:v>254</x:v>
      </x:c>
      <x:c r="Q859" s="23" t="str">
        <x:v>1 lignes de spawn</x:v>
      </x:c>
      <x:c r="R859" s="23" t="str">
        <x:v>Il cherche de la nourriture toute la journée. Il possède un odorat très développé, mais ne l'utilise que pour repérer de quoi se nourrir.</x:v>
      </x:c>
      <x:c r="S859" s="23" t="str"/>
      <x:c r="T859" s="23" t="str">
        <x:v>https://pixelmonmod.com/wiki/Lechonk</x:v>
      </x:c>
    </x:row>
    <x:row r="860" ht="54" customHeight="1">
      <x:c r="A860" s="27" t="n">
        <x:v>916</x:v>
      </x:c>
      <x:c r="B860" s="23" t="str">
        <x:v>Fragroin</x:v>
      </x:c>
      <x:c r="C860" s="23" t="str">
        <x:v>Oinkologne</x:v>
      </x:c>
      <x:c r="D860" s="23" t="str">
        <x:v>Normal</x:v>
      </x:c>
      <x:c r="E860" s="23" t="str"/>
      <x:c r="F860" s="23" t="str">
        <x:v>Rare</x:v>
      </x:c>
      <x:c r="G860" s="45" t="n">
        <x:v>12000</x:v>
      </x:c>
      <x:c r="H860" s="45" t="n">
        <x:f>IF(G860="","",ROUNDUP(G860*3,0))</x:f>
        <x:v>36000</x:v>
      </x:c>
      <x:c r="I860" s="41" t="n">
        <x:v>1</x:v>
      </x:c>
      <x:c r="J860" s="42" t="n">
        <x:v>110</x:v>
      </x:c>
      <x:c r="K860" s="42" t="n">
        <x:v>100</x:v>
      </x:c>
      <x:c r="L860" s="42" t="n">
        <x:v>75</x:v>
      </x:c>
      <x:c r="M860" s="42" t="n">
        <x:v>59</x:v>
      </x:c>
      <x:c r="N860" s="42" t="n">
        <x:v>80</x:v>
      </x:c>
      <x:c r="O860" s="42" t="n">
        <x:v>65</x:v>
      </x:c>
      <x:c r="P860" s="43" t="n">
        <x:f>IF(COUNT(J860:O860)=0,"",SUM(J860:O860))</x:f>
        <x:v>489</x:v>
      </x:c>
      <x:c r="Q860" s="23" t="str">
        <x:v>1 lignes de spawn</x:v>
      </x:c>
      <x:c r="R860" s="23" t="str">
        <x:v>Fragroin est fier de sa peau lisse et brillante. Il émet une odeur concentrée depuis l'extrémité de sa queue.</x:v>
      </x:c>
      <x:c r="S860" s="23" t="str"/>
      <x:c r="T860" s="23" t="str">
        <x:v>https://pixelmonmod.com/wiki/Oinkologne</x:v>
      </x:c>
    </x:row>
    <x:row r="861" ht="54" customHeight="1">
      <x:c r="A861" s="27" t="n">
        <x:v>917</x:v>
      </x:c>
      <x:c r="B861" s="23" t="str">
        <x:v>Tissenboule</x:v>
      </x:c>
      <x:c r="C861" s="23" t="str">
        <x:v>Tarountula</x:v>
      </x:c>
      <x:c r="D861" s="23" t="str">
        <x:v>Insecte</x:v>
      </x:c>
      <x:c r="E861" s="23" t="str"/>
      <x:c r="F861" s="23" t="str">
        <x:v>Uncommon</x:v>
      </x:c>
      <x:c r="G861" s="45" t="n">
        <x:v>5000</x:v>
      </x:c>
      <x:c r="H861" s="45" t="n">
        <x:f>IF(G861="","",ROUNDUP(G861*3,0))</x:f>
        <x:v>15000</x:v>
      </x:c>
      <x:c r="I861" s="41" t="n">
        <x:v>1</x:v>
      </x:c>
      <x:c r="J861" s="42" t="n">
        <x:v>35</x:v>
      </x:c>
      <x:c r="K861" s="42" t="n">
        <x:v>41</x:v>
      </x:c>
      <x:c r="L861" s="42" t="n">
        <x:v>45</x:v>
      </x:c>
      <x:c r="M861" s="42" t="n">
        <x:v>29</x:v>
      </x:c>
      <x:c r="N861" s="42" t="n">
        <x:v>40</x:v>
      </x:c>
      <x:c r="O861" s="42" t="n">
        <x:v>20</x:v>
      </x:c>
      <x:c r="P861" s="43" t="n">
        <x:f>IF(COUNT(J861:O861)=0,"",SUM(J861:O861))</x:f>
        <x:v>210</x:v>
      </x:c>
      <x:c r="Q861" s="23" t="str">
        <x:v>1 lignes de spawn</x:v>
      </x:c>
      <x:c r="R861" s="23" t="str">
        <x:v>La boule de fils enroulés autour de son corps est assez élastique pour dévier les lames de Scarabrute, son ennemi naturel.</x:v>
      </x:c>
      <x:c r="S861" s="23" t="str"/>
      <x:c r="T861" s="23" t="str">
        <x:v>https://pixelmonmod.com/wiki/Tarountula</x:v>
      </x:c>
    </x:row>
    <x:row r="862" ht="54" customHeight="1">
      <x:c r="A862" s="27" t="n">
        <x:v>918</x:v>
      </x:c>
      <x:c r="B862" s="23" t="str">
        <x:v>Filentrappe</x:v>
      </x:c>
      <x:c r="C862" s="23" t="str">
        <x:v>Spidops</x:v>
      </x:c>
      <x:c r="D862" s="23" t="str">
        <x:v>Insecte</x:v>
      </x:c>
      <x:c r="E862" s="23" t="str"/>
      <x:c r="F862" s="23" t="str">
        <x:v>Ultra Rare</x:v>
      </x:c>
      <x:c r="G862" s="45" t="n">
        <x:v>75000</x:v>
      </x:c>
      <x:c r="H862" s="45" t="n">
        <x:f>IF(G862="","",ROUNDUP(G862*3,0))</x:f>
        <x:v>225000</x:v>
      </x:c>
      <x:c r="I862" s="41" t="n">
        <x:v>1</x:v>
      </x:c>
      <x:c r="J862" s="42" t="n">
        <x:v>60</x:v>
      </x:c>
      <x:c r="K862" s="42" t="n">
        <x:v>79</x:v>
      </x:c>
      <x:c r="L862" s="42" t="n">
        <x:v>92</x:v>
      </x:c>
      <x:c r="M862" s="42" t="n">
        <x:v>52</x:v>
      </x:c>
      <x:c r="N862" s="42" t="n">
        <x:v>86</x:v>
      </x:c>
      <x:c r="O862" s="42" t="n">
        <x:v>35</x:v>
      </x:c>
      <x:c r="P862" s="43" t="n">
        <x:f>IF(COUNT(J862:O862)=0,"",SUM(J862:O862))</x:f>
        <x:v>404</x:v>
      </x:c>
      <x:c r="Q862" s="23" t="str">
        <x:v>1 lignes de spawn</x:v>
      </x:c>
      <x:c r="R862" s="23" t="str">
        <x:v>Il s'agrippe aux branches et aux plafonds grâce à ses fils et se déplace sans un bruit. Il neutralise sa proie avant même qu'elle ne le remarque.</x:v>
      </x:c>
      <x:c r="S862" s="23" t="str"/>
      <x:c r="T862" s="23" t="str">
        <x:v>https://pixelmonmod.com/wiki/Spidops</x:v>
      </x:c>
    </x:row>
    <x:row r="863" ht="54" customHeight="1">
      <x:c r="A863" s="27" t="n">
        <x:v>919</x:v>
      </x:c>
      <x:c r="B863" s="23" t="str">
        <x:v>Lilliterelle</x:v>
      </x:c>
      <x:c r="C863" s="23" t="str">
        <x:v>Nymble</x:v>
      </x:c>
      <x:c r="D863" s="23" t="str">
        <x:v>Insecte</x:v>
      </x:c>
      <x:c r="E863" s="23" t="str"/>
      <x:c r="F863" s="23" t="str">
        <x:v>Uncommon</x:v>
      </x:c>
      <x:c r="G863" s="45" t="n">
        <x:v>5000</x:v>
      </x:c>
      <x:c r="H863" s="45" t="n">
        <x:f>IF(G863="","",ROUNDUP(G863*3,0))</x:f>
        <x:v>15000</x:v>
      </x:c>
      <x:c r="I863" s="41" t="n">
        <x:v>1</x:v>
      </x:c>
      <x:c r="J863" s="42" t="n">
        <x:v>33</x:v>
      </x:c>
      <x:c r="K863" s="42" t="n">
        <x:v>46</x:v>
      </x:c>
      <x:c r="L863" s="42" t="n">
        <x:v>40</x:v>
      </x:c>
      <x:c r="M863" s="42" t="n">
        <x:v>21</x:v>
      </x:c>
      <x:c r="N863" s="42" t="n">
        <x:v>25</x:v>
      </x:c>
      <x:c r="O863" s="42" t="n">
        <x:v>45</x:v>
      </x:c>
      <x:c r="P863" s="43" t="n">
        <x:f>IF(COUNT(J863:O863)=0,"",SUM(J863:O863))</x:f>
        <x:v>210</x:v>
      </x:c>
      <x:c r="Q863" s="23" t="str">
        <x:v>1 lignes de spawn</x:v>
      </x:c>
      <x:c r="R863" s="23" t="str">
        <x:v>Il garde sa troisième paire de pattes repliée. Lorsqu'il est en difficulté, ce Pokémon bondit à plus de dix mètres grâce à la force de ses pattes.</x:v>
      </x:c>
      <x:c r="S863" s="23" t="str"/>
      <x:c r="T863" s="23" t="str">
        <x:v>https://pixelmonmod.com/wiki/Nymble</x:v>
      </x:c>
    </x:row>
    <x:row r="864" ht="54" customHeight="1">
      <x:c r="A864" s="27" t="n">
        <x:v>920</x:v>
      </x:c>
      <x:c r="B864" s="23" t="str">
        <x:v>Gambex</x:v>
      </x:c>
      <x:c r="C864" s="23" t="str">
        <x:v>Lokix</x:v>
      </x:c>
      <x:c r="D864" s="23" t="str">
        <x:v>Insecte</x:v>
      </x:c>
      <x:c r="E864" s="23" t="str">
        <x:v>Ténèbres</x:v>
      </x:c>
      <x:c r="F864" s="23" t="str">
        <x:v>Rare</x:v>
      </x:c>
      <x:c r="G864" s="45" t="n">
        <x:v>12000</x:v>
      </x:c>
      <x:c r="H864" s="45" t="n">
        <x:f>IF(G864="","",ROUNDUP(G864*3,0))</x:f>
        <x:v>36000</x:v>
      </x:c>
      <x:c r="I864" s="41" t="n">
        <x:v>1</x:v>
      </x:c>
      <x:c r="J864" s="42" t="n">
        <x:v>71</x:v>
      </x:c>
      <x:c r="K864" s="42" t="n">
        <x:v>102</x:v>
      </x:c>
      <x:c r="L864" s="42" t="n">
        <x:v>78</x:v>
      </x:c>
      <x:c r="M864" s="42" t="n">
        <x:v>52</x:v>
      </x:c>
      <x:c r="N864" s="42" t="n">
        <x:v>55</x:v>
      </x:c>
      <x:c r="O864" s="42" t="n">
        <x:v>92</x:v>
      </x:c>
      <x:c r="P864" s="43" t="n">
        <x:f>IF(COUNT(J864:O864)=0,"",SUM(J864:O864))</x:f>
        <x:v>450</x:v>
      </x:c>
      <x:c r="Q864" s="23" t="str">
        <x:v>1 lignes de spawn</x:v>
      </x:c>
      <x:c r="R864" s="23" t="str">
        <x:v>Quand il décide de se battre sérieusement, il se redresse sur ses pattes jusque-là repliées pour entrer en mode Affrontement. Il neutralise ses ennemis en un rien de temps.</x:v>
      </x:c>
      <x:c r="S864" s="23" t="str"/>
      <x:c r="T864" s="23" t="str">
        <x:v>https://pixelmonmod.com/wiki/Lokix</x:v>
      </x:c>
    </x:row>
    <x:row r="865" ht="54" customHeight="1">
      <x:c r="A865" s="27" t="n">
        <x:v>921</x:v>
      </x:c>
      <x:c r="B865" s="23" t="str">
        <x:v>Pohm</x:v>
      </x:c>
      <x:c r="C865" s="23" t="str">
        <x:v>Pawmi</x:v>
      </x:c>
      <x:c r="D865" s="23" t="str">
        <x:v>Électrik</x:v>
      </x:c>
      <x:c r="E865" s="23" t="str"/>
      <x:c r="F865" s="23" t="str">
        <x:v>Uncommon</x:v>
      </x:c>
      <x:c r="G865" s="45" t="n">
        <x:v>5000</x:v>
      </x:c>
      <x:c r="H865" s="45" t="n">
        <x:f>IF(G865="","",ROUNDUP(G865*3,0))</x:f>
        <x:v>15000</x:v>
      </x:c>
      <x:c r="I865" s="41" t="n">
        <x:v>1</x:v>
      </x:c>
      <x:c r="J865" s="42" t="n">
        <x:v>45</x:v>
      </x:c>
      <x:c r="K865" s="42" t="n">
        <x:v>50</x:v>
      </x:c>
      <x:c r="L865" s="42" t="n">
        <x:v>20</x:v>
      </x:c>
      <x:c r="M865" s="42" t="n">
        <x:v>40</x:v>
      </x:c>
      <x:c r="N865" s="42" t="n">
        <x:v>25</x:v>
      </x:c>
      <x:c r="O865" s="42" t="n">
        <x:v>60</x:v>
      </x:c>
      <x:c r="P865" s="43" t="n">
        <x:f>IF(COUNT(J865:O865)=0,"",SUM(J865:O865))</x:f>
        <x:v>240</x:v>
      </x:c>
      <x:c r="Q865" s="23" t="str">
        <x:v>2 lignes de spawn</x:v>
      </x:c>
      <x:c r="R865" s="23" t="str">
        <x:v>Les poches électriques de ses joues sont peu développées. Elles ne peuvent produire de l'électricité que si Pohm les frotte frénétiquement avec les coussinets de ses pattes avant.</x:v>
      </x:c>
      <x:c r="S865" s="23" t="str"/>
      <x:c r="T865" s="23" t="str">
        <x:v>https://pixelmonmod.com/wiki/Pawmi</x:v>
      </x:c>
    </x:row>
    <x:row r="866" ht="54" customHeight="1">
      <x:c r="A866" s="27" t="n">
        <x:v>922</x:v>
      </x:c>
      <x:c r="B866" s="23" t="str">
        <x:v>Pohmotte</x:v>
      </x:c>
      <x:c r="C866" s="23" t="str">
        <x:v>Pawmo</x:v>
      </x:c>
      <x:c r="D866" s="23" t="str">
        <x:v>Électrik</x:v>
      </x:c>
      <x:c r="E866" s="23" t="str">
        <x:v>Combat</x:v>
      </x:c>
      <x:c r="F866" s="23" t="str">
        <x:v>Rare</x:v>
      </x:c>
      <x:c r="G866" s="45" t="n">
        <x:v>12000</x:v>
      </x:c>
      <x:c r="H866" s="45" t="n">
        <x:f>IF(G866="","",ROUNDUP(G866*3,0))</x:f>
        <x:v>36000</x:v>
      </x:c>
      <x:c r="I866" s="41" t="n">
        <x:v>1</x:v>
      </x:c>
      <x:c r="J866" s="42" t="n">
        <x:v>60</x:v>
      </x:c>
      <x:c r="K866" s="42" t="n">
        <x:v>75</x:v>
      </x:c>
      <x:c r="L866" s="42" t="n">
        <x:v>40</x:v>
      </x:c>
      <x:c r="M866" s="42" t="n">
        <x:v>50</x:v>
      </x:c>
      <x:c r="N866" s="42" t="n">
        <x:v>40</x:v>
      </x:c>
      <x:c r="O866" s="42" t="n">
        <x:v>85</x:v>
      </x:c>
      <x:c r="P866" s="43" t="n">
        <x:f>IF(COUNT(J866:O866)=0,"",SUM(J866:O866))</x:f>
        <x:v>350</x:v>
      </x:c>
      <x:c r="Q866" s="23" t="str">
        <x:v>2 lignes de spawn</x:v>
      </x:c>
      <x:c r="R866" s="23" t="str">
        <x:v>Quand son groupe est attaqué, Pohmotte est le premier à bondir au combat, terrassant l'ennemi grâce à une technique martiale mêlant chocs électriques.</x:v>
      </x:c>
      <x:c r="S866" s="23" t="str"/>
      <x:c r="T866" s="23" t="str">
        <x:v>https://pixelmonmod.com/wiki/Pawmo</x:v>
      </x:c>
    </x:row>
    <x:row r="867" ht="54" customHeight="1">
      <x:c r="A867" s="27" t="n">
        <x:v>923</x:v>
      </x:c>
      <x:c r="B867" s="23" t="str">
        <x:v>Pohmarmotte</x:v>
      </x:c>
      <x:c r="C867" s="23" t="str">
        <x:v>Pawmot</x:v>
      </x:c>
      <x:c r="D867" s="23" t="str">
        <x:v>Électrik</x:v>
      </x:c>
      <x:c r="E867" s="23" t="str">
        <x:v>Combat</x:v>
      </x:c>
      <x:c r="F867" s="23" t="str">
        <x:v>Ultra Rare</x:v>
      </x:c>
      <x:c r="G867" s="45" t="n">
        <x:v>75000</x:v>
      </x:c>
      <x:c r="H867" s="45" t="n">
        <x:f>IF(G867="","",ROUNDUP(G867*3,0))</x:f>
        <x:v>225000</x:v>
      </x:c>
      <x:c r="I867" s="41" t="n">
        <x:v>1</x:v>
      </x:c>
      <x:c r="J867" s="42" t="n">
        <x:v>70</x:v>
      </x:c>
      <x:c r="K867" s="42" t="n">
        <x:v>115</x:v>
      </x:c>
      <x:c r="L867" s="42" t="n">
        <x:v>70</x:v>
      </x:c>
      <x:c r="M867" s="42" t="n">
        <x:v>70</x:v>
      </x:c>
      <x:c r="N867" s="42" t="n">
        <x:v>60</x:v>
      </x:c>
      <x:c r="O867" s="42" t="n">
        <x:v>105</x:v>
      </x:c>
      <x:c r="P867" s="43" t="n">
        <x:f>IF(COUNT(J867:O867)=0,"",SUM(J867:O867))</x:f>
        <x:v>490</x:v>
      </x:c>
      <x:c r="Q867" s="23" t="str">
        <x:v>2 lignes de spawn</x:v>
      </x:c>
      <x:c r="R867" s="23" t="str">
        <x:v>Ce Pokémon réagit généralement lentement, mais une fois au combat, il abat ses ennemis avec des mouvements fulgurants.</x:v>
      </x:c>
      <x:c r="S867" s="23" t="str"/>
      <x:c r="T867" s="23" t="str">
        <x:v>https://pixelmonmod.com/wiki/Pawmot</x:v>
      </x:c>
    </x:row>
    <x:row r="868" ht="54" customHeight="1">
      <x:c r="A868" s="27" t="n">
        <x:v>924</x:v>
      </x:c>
      <x:c r="B868" s="23" t="str">
        <x:v>Compagnol</x:v>
      </x:c>
      <x:c r="C868" s="23" t="str">
        <x:v>Tandemaus</x:v>
      </x:c>
      <x:c r="D868" s="23" t="str">
        <x:v>Normal</x:v>
      </x:c>
      <x:c r="E868" s="23" t="str"/>
      <x:c r="F868" s="23" t="str">
        <x:v>Uncommon</x:v>
      </x:c>
      <x:c r="G868" s="45" t="n">
        <x:v>5000</x:v>
      </x:c>
      <x:c r="H868" s="45" t="n">
        <x:f>IF(G868="","",ROUNDUP(G868*3,0))</x:f>
        <x:v>15000</x:v>
      </x:c>
      <x:c r="I868" s="41" t="n">
        <x:v>1</x:v>
      </x:c>
      <x:c r="J868" s="42" t="n">
        <x:v>50</x:v>
      </x:c>
      <x:c r="K868" s="42" t="n">
        <x:v>50</x:v>
      </x:c>
      <x:c r="L868" s="42" t="n">
        <x:v>45</x:v>
      </x:c>
      <x:c r="M868" s="42" t="n">
        <x:v>40</x:v>
      </x:c>
      <x:c r="N868" s="42" t="n">
        <x:v>45</x:v>
      </x:c>
      <x:c r="O868" s="42" t="n">
        <x:v>75</x:v>
      </x:c>
      <x:c r="P868" s="43" t="n">
        <x:f>IF(COUNT(J868:O868)=0,"",SUM(J868:O868))</x:f>
        <x:v>305</x:v>
      </x:c>
      <x:c r="Q868" s="23" t="str">
        <x:v>2 lignes de spawn</x:v>
      </x:c>
      <x:c r="R868" s="23" t="str">
        <x:v>Grâce à leur excellent travail d'équipe, ils découpent avec leurs incisives tout matériau pouvant servir à un nid, puis s'en emparent.</x:v>
      </x:c>
      <x:c r="S868" s="23" t="str"/>
      <x:c r="T868" s="23" t="str">
        <x:v>https://pixelmonmod.com/wiki/Tandemaus</x:v>
      </x:c>
    </x:row>
    <x:row r="869" ht="54" customHeight="1">
      <x:c r="A869" s="27" t="n">
        <x:v>925</x:v>
      </x:c>
      <x:c r="B869" s="23" t="str">
        <x:v>Famignol</x:v>
      </x:c>
      <x:c r="C869" s="23" t="str">
        <x:v>Maushold</x:v>
      </x:c>
      <x:c r="D869" s="23" t="str">
        <x:v>Normal</x:v>
      </x:c>
      <x:c r="E869" s="23" t="str"/>
      <x:c r="F869" s="23" t="str">
        <x:v>Ultra Rare</x:v>
      </x:c>
      <x:c r="G869" s="45" t="n">
        <x:v>75000</x:v>
      </x:c>
      <x:c r="H869" s="45" t="n">
        <x:f>IF(G869="","",ROUNDUP(G869*3,0))</x:f>
        <x:v>225000</x:v>
      </x:c>
      <x:c r="I869" s="41" t="n">
        <x:v>1</x:v>
      </x:c>
      <x:c r="J869" s="42" t="n">
        <x:v>74</x:v>
      </x:c>
      <x:c r="K869" s="42" t="n">
        <x:v>75</x:v>
      </x:c>
      <x:c r="L869" s="42" t="n">
        <x:v>70</x:v>
      </x:c>
      <x:c r="M869" s="42" t="n">
        <x:v>65</x:v>
      </x:c>
      <x:c r="N869" s="42" t="n">
        <x:v>75</x:v>
      </x:c>
      <x:c r="O869" s="42" t="n">
        <x:v>111</x:v>
      </x:c>
      <x:c r="P869" s="43" t="n">
        <x:f>IF(COUNT(J869:O869)=0,"",SUM(J869:O869))</x:f>
        <x:v>470</x:v>
      </x:c>
      <x:c r="Q869" s="23" t="str">
        <x:v>2 lignes de spawn</x:v>
      </x:c>
      <x:c r="R869" s="23" t="str">
        <x:v>Les deux petits sont apparus du jour au lendemain. Le groupe est peut-être une famille de Pokémon apparentés, mais personne n'en est sûr.</x:v>
      </x:c>
      <x:c r="S869" s="23" t="str"/>
      <x:c r="T869" s="23" t="str">
        <x:v>https://pixelmonmod.com/wiki/Maushold</x:v>
      </x:c>
    </x:row>
    <x:row r="870" ht="54" customHeight="1">
      <x:c r="A870" s="27" t="n">
        <x:v>926</x:v>
      </x:c>
      <x:c r="B870" s="23" t="str">
        <x:v>Pâtachiot</x:v>
      </x:c>
      <x:c r="C870" s="23" t="str">
        <x:v>Fidough</x:v>
      </x:c>
      <x:c r="D870" s="23" t="str">
        <x:v>Fée</x:v>
      </x:c>
      <x:c r="E870" s="23" t="str"/>
      <x:c r="F870" s="23" t="str">
        <x:v>Uncommon</x:v>
      </x:c>
      <x:c r="G870" s="45" t="n">
        <x:v>5000</x:v>
      </x:c>
      <x:c r="H870" s="45" t="n">
        <x:f>IF(G870="","",ROUNDUP(G870*3,0))</x:f>
        <x:v>15000</x:v>
      </x:c>
      <x:c r="I870" s="41" t="n">
        <x:v>1</x:v>
      </x:c>
      <x:c r="J870" s="42" t="n">
        <x:v>37</x:v>
      </x:c>
      <x:c r="K870" s="42" t="n">
        <x:v>55</x:v>
      </x:c>
      <x:c r="L870" s="42" t="n">
        <x:v>70</x:v>
      </x:c>
      <x:c r="M870" s="42" t="n">
        <x:v>30</x:v>
      </x:c>
      <x:c r="N870" s="42" t="n">
        <x:v>55</x:v>
      </x:c>
      <x:c r="O870" s="42" t="n">
        <x:v>65</x:v>
      </x:c>
      <x:c r="P870" s="43" t="n">
        <x:f>IF(COUNT(J870:O870)=0,"",SUM(J870:O870))</x:f>
        <x:v>312</x:v>
      </x:c>
      <x:c r="Q870" s="23" t="str">
        <x:v>1 lignes de spawn</x:v>
      </x:c>
      <x:c r="R870" s="23" t="str">
        <x:v>Ce Pokémon est lisse et moelleux au toucher. La levure présente dans son haleine provoque la fermentation autour de lui.</x:v>
      </x:c>
      <x:c r="S870" s="23" t="str"/>
      <x:c r="T870" s="23" t="str">
        <x:v>https://pixelmonmod.com/wiki/Fidough</x:v>
      </x:c>
    </x:row>
    <x:row r="871" ht="54" customHeight="1">
      <x:c r="A871" s="27" t="n">
        <x:v>927</x:v>
      </x:c>
      <x:c r="B871" s="23" t="str">
        <x:v>Dachsbun</x:v>
      </x:c>
      <x:c r="C871" s="23" t="str">
        <x:v>Dachsbun</x:v>
      </x:c>
      <x:c r="D871" s="23" t="str">
        <x:v>Fée</x:v>
      </x:c>
      <x:c r="E871" s="23" t="str"/>
      <x:c r="F871" s="23" t="str">
        <x:v>Very Rare</x:v>
      </x:c>
      <x:c r="G871" s="45" t="n">
        <x:v>30000</x:v>
      </x:c>
      <x:c r="H871" s="45" t="n">
        <x:f>IF(G871="","",ROUNDUP(G871*3,0))</x:f>
        <x:v>90000</x:v>
      </x:c>
      <x:c r="I871" s="41" t="n">
        <x:v>1</x:v>
      </x:c>
      <x:c r="J871" s="42" t="n">
        <x:v>57</x:v>
      </x:c>
      <x:c r="K871" s="42" t="n">
        <x:v>80</x:v>
      </x:c>
      <x:c r="L871" s="42" t="n">
        <x:v>115</x:v>
      </x:c>
      <x:c r="M871" s="42" t="n">
        <x:v>50</x:v>
      </x:c>
      <x:c r="N871" s="42" t="n">
        <x:v>80</x:v>
      </x:c>
      <x:c r="O871" s="42" t="n">
        <x:v>95</x:v>
      </x:c>
      <x:c r="P871" s="43" t="n">
        <x:f>IF(COUNT(J871:O871)=0,"",SUM(J871:O871))</x:f>
        <x:v>477</x:v>
      </x:c>
      <x:c r="Q871" s="23" t="str">
        <x:v>1 lignes de spawn</x:v>
      </x:c>
      <x:c r="R871" s="23" t="str">
        <x:v>Le parfum agréable qui émane du corps de ce Pokémon aide le blé à pousser, si bien que Dachsbun est très apprécié dans les villages agricoles.</x:v>
      </x:c>
      <x:c r="S871" s="23" t="str">
        <x:v>Very Rare aligné sur le palier Super Rare (provisoire).</x:v>
      </x:c>
      <x:c r="T871" s="23" t="str">
        <x:v>https://pixelmonmod.com/wiki/Dachsbun</x:v>
      </x:c>
    </x:row>
    <x:row r="872" ht="54" customHeight="1">
      <x:c r="A872" s="27" t="n">
        <x:v>928</x:v>
      </x:c>
      <x:c r="B872" s="23" t="str">
        <x:v>Olivini</x:v>
      </x:c>
      <x:c r="C872" s="23" t="str">
        <x:v>Smoliv</x:v>
      </x:c>
      <x:c r="D872" s="23" t="str">
        <x:v>Plante</x:v>
      </x:c>
      <x:c r="E872" s="23" t="str">
        <x:v>Normal</x:v>
      </x:c>
      <x:c r="F872" s="23" t="str">
        <x:v>Uncommon</x:v>
      </x:c>
      <x:c r="G872" s="45" t="n">
        <x:v>5000</x:v>
      </x:c>
      <x:c r="H872" s="45" t="n">
        <x:f>IF(G872="","",ROUNDUP(G872*3,0))</x:f>
        <x:v>15000</x:v>
      </x:c>
      <x:c r="I872" s="41" t="n">
        <x:v>1</x:v>
      </x:c>
      <x:c r="J872" s="42" t="n">
        <x:v>41</x:v>
      </x:c>
      <x:c r="K872" s="42" t="n">
        <x:v>35</x:v>
      </x:c>
      <x:c r="L872" s="42" t="n">
        <x:v>45</x:v>
      </x:c>
      <x:c r="M872" s="42" t="n">
        <x:v>58</x:v>
      </x:c>
      <x:c r="N872" s="42" t="n">
        <x:v>51</x:v>
      </x:c>
      <x:c r="O872" s="42" t="n">
        <x:v>30</x:v>
      </x:c>
      <x:c r="P872" s="43" t="n">
        <x:f>IF(COUNT(J872:O872)=0,"",SUM(J872:O872))</x:f>
        <x:v>260</x:v>
      </x:c>
      <x:c r="Q872" s="23" t="str">
        <x:v>4 lignes de spawn</x:v>
      </x:c>
      <x:c r="R872" s="23" t="str">
        <x:v>Il se protège en émettant une huile depuis le fruit sur sa tête. Cette huile est si amère et astringente qu'elle fait grimacer quiconque la goûte.</x:v>
      </x:c>
      <x:c r="S872" s="23" t="str"/>
      <x:c r="T872" s="23" t="str">
        <x:v>https://pixelmonmod.com/wiki/Smoliv</x:v>
      </x:c>
    </x:row>
    <x:row r="873" ht="54" customHeight="1">
      <x:c r="A873" s="27" t="n">
        <x:v>929</x:v>
      </x:c>
      <x:c r="B873" s="23" t="str">
        <x:v>Olivini</x:v>
      </x:c>
      <x:c r="C873" s="23" t="str">
        <x:v>Dolliv</x:v>
      </x:c>
      <x:c r="D873" s="23" t="str">
        <x:v>Plante</x:v>
      </x:c>
      <x:c r="E873" s="23" t="str">
        <x:v>Normal</x:v>
      </x:c>
      <x:c r="F873" s="23" t="str">
        <x:v>Rare</x:v>
      </x:c>
      <x:c r="G873" s="45" t="n">
        <x:v>12000</x:v>
      </x:c>
      <x:c r="H873" s="45" t="n">
        <x:f>IF(G873="","",ROUNDUP(G873*3,0))</x:f>
        <x:v>36000</x:v>
      </x:c>
      <x:c r="I873" s="41" t="n">
        <x:v>1</x:v>
      </x:c>
      <x:c r="J873" s="42" t="n">
        <x:v>52</x:v>
      </x:c>
      <x:c r="K873" s="42" t="n">
        <x:v>53</x:v>
      </x:c>
      <x:c r="L873" s="42" t="n">
        <x:v>60</x:v>
      </x:c>
      <x:c r="M873" s="42" t="n">
        <x:v>78</x:v>
      </x:c>
      <x:c r="N873" s="42" t="n">
        <x:v>78</x:v>
      </x:c>
      <x:c r="O873" s="42" t="n">
        <x:v>33</x:v>
      </x:c>
      <x:c r="P873" s="43" t="n">
        <x:f>IF(COUNT(J873:O873)=0,"",SUM(J873:O873))</x:f>
        <x:v>354</x:v>
      </x:c>
      <x:c r="Q873" s="23" t="str">
        <x:v>4 lignes de spawn</x:v>
      </x:c>
      <x:c r="R873" s="23" t="str">
        <x:v>Olivini partage sa délicieuse huile fraîche et parfumée avec les autres. Cette espèce coexiste avec les humains depuis des temps immémoriaux.</x:v>
      </x:c>
      <x:c r="S873" s="23" t="str"/>
      <x:c r="T873" s="23" t="str">
        <x:v>https://pixelmonmod.com/wiki/Dolliv</x:v>
      </x:c>
    </x:row>
    <x:row r="874" ht="54" customHeight="1">
      <x:c r="A874" s="27" t="n">
        <x:v>930</x:v>
      </x:c>
      <x:c r="B874" s="23" t="str">
        <x:v>Olivado</x:v>
      </x:c>
      <x:c r="C874" s="23" t="str">
        <x:v>Arboliva</x:v>
      </x:c>
      <x:c r="D874" s="23" t="str">
        <x:v>Plante</x:v>
      </x:c>
      <x:c r="E874" s="23" t="str">
        <x:v>Normal</x:v>
      </x:c>
      <x:c r="F874" s="23" t="str">
        <x:v>Ultra Rare</x:v>
      </x:c>
      <x:c r="G874" s="45" t="n">
        <x:v>75000</x:v>
      </x:c>
      <x:c r="H874" s="45" t="n">
        <x:f>IF(G874="","",ROUNDUP(G874*3,0))</x:f>
        <x:v>225000</x:v>
      </x:c>
      <x:c r="I874" s="41" t="n">
        <x:v>1</x:v>
      </x:c>
      <x:c r="J874" s="42" t="n">
        <x:v>78</x:v>
      </x:c>
      <x:c r="K874" s="42" t="n">
        <x:v>69</x:v>
      </x:c>
      <x:c r="L874" s="42" t="n">
        <x:v>90</x:v>
      </x:c>
      <x:c r="M874" s="42" t="n">
        <x:v>125</x:v>
      </x:c>
      <x:c r="N874" s="42" t="n">
        <x:v>109</x:v>
      </x:c>
      <x:c r="O874" s="42" t="n">
        <x:v>39</x:v>
      </x:c>
      <x:c r="P874" s="43" t="n">
        <x:f>IF(COUNT(J874:O874)=0,"",SUM(J874:O874))</x:f>
        <x:v>510</x:v>
      </x:c>
      <x:c r="Q874" s="23" t="str">
        <x:v>2 lignes de spawn</x:v>
      </x:c>
      <x:c r="R874" s="23" t="str">
        <x:v>Ce Pokémon calme est très compatissant. Il partage son huile délicieuse et nutritive avec les Pokémon affaiblis.</x:v>
      </x:c>
      <x:c r="S874" s="23" t="str"/>
      <x:c r="T874" s="23" t="str">
        <x:v>https://pixelmonmod.com/wiki/Arboliva</x:v>
      </x:c>
    </x:row>
    <x:row r="875" ht="54" customHeight="1">
      <x:c r="A875" s="27" t="n">
        <x:v>931</x:v>
      </x:c>
      <x:c r="B875" s="23" t="str">
        <x:v>Tapatoès</x:v>
      </x:c>
      <x:c r="C875" s="23" t="str">
        <x:v>Squawkabilly</x:v>
      </x:c>
      <x:c r="D875" s="23" t="str">
        <x:v>Normal</x:v>
      </x:c>
      <x:c r="E875" s="23" t="str">
        <x:v>Vol</x:v>
      </x:c>
      <x:c r="F875" s="23" t="str">
        <x:v>Rare</x:v>
      </x:c>
      <x:c r="G875" s="45" t="n">
        <x:v>12000</x:v>
      </x:c>
      <x:c r="H875" s="45" t="n">
        <x:f>IF(G875="","",ROUNDUP(G875*3,0))</x:f>
        <x:v>36000</x:v>
      </x:c>
      <x:c r="I875" s="41" t="n">
        <x:v>0.625</x:v>
      </x:c>
      <x:c r="J875" s="42" t="n">
        <x:v>82</x:v>
      </x:c>
      <x:c r="K875" s="42" t="n">
        <x:v>96</x:v>
      </x:c>
      <x:c r="L875" s="42" t="n">
        <x:v>51</x:v>
      </x:c>
      <x:c r="M875" s="42" t="n">
        <x:v>45</x:v>
      </x:c>
      <x:c r="N875" s="42" t="n">
        <x:v>51</x:v>
      </x:c>
      <x:c r="O875" s="42" t="n">
        <x:v>92</x:v>
      </x:c>
      <x:c r="P875" s="43" t="n">
        <x:f>IF(COUNT(J875:O875)=0,"",SUM(J875:O875))</x:f>
        <x:v>417</x:v>
      </x:c>
      <x:c r="Q875" s="23" t="str">
        <x:v>8 lignes de spawn</x:v>
      </x:c>
      <x:c r="R875" s="23" t="str">
        <x:v>Ces Pokémon préfèrent vivre en ville. Ils forment des groupes selon la couleur de leur plumage et se disputent les territoires.</x:v>
      </x:c>
      <x:c r="S875" s="23" t="str"/>
      <x:c r="T875" s="23" t="str">
        <x:v>https://pixelmonmod.com/wiki/Squawkabilly</x:v>
      </x:c>
    </x:row>
    <x:row r="876" ht="54" customHeight="1">
      <x:c r="A876" s="27" t="n">
        <x:v>932</x:v>
      </x:c>
      <x:c r="B876" s="23" t="str">
        <x:v>Selutin</x:v>
      </x:c>
      <x:c r="C876" s="23" t="str">
        <x:v>Nacli</x:v>
      </x:c>
      <x:c r="D876" s="23" t="str">
        <x:v>Roche</x:v>
      </x:c>
      <x:c r="E876" s="23" t="str"/>
      <x:c r="F876" s="23" t="str">
        <x:v>Uncommon</x:v>
      </x:c>
      <x:c r="G876" s="45" t="n">
        <x:v>5000</x:v>
      </x:c>
      <x:c r="H876" s="45" t="n">
        <x:f>IF(G876="","",ROUNDUP(G876*3,0))</x:f>
        <x:v>15000</x:v>
      </x:c>
      <x:c r="I876" s="41" t="n">
        <x:v>1</x:v>
      </x:c>
      <x:c r="J876" s="42" t="n">
        <x:v>55</x:v>
      </x:c>
      <x:c r="K876" s="42" t="n">
        <x:v>55</x:v>
      </x:c>
      <x:c r="L876" s="42" t="n">
        <x:v>75</x:v>
      </x:c>
      <x:c r="M876" s="42" t="n">
        <x:v>35</x:v>
      </x:c>
      <x:c r="N876" s="42" t="n">
        <x:v>35</x:v>
      </x:c>
      <x:c r="O876" s="42" t="n">
        <x:v>25</x:v>
      </x:c>
      <x:c r="P876" s="43" t="n">
        <x:f>IF(COUNT(J876:O876)=0,"",SUM(J876:O876))</x:f>
        <x:v>280</x:v>
      </x:c>
      <x:c r="Q876" s="23" t="str">
        <x:v>12 lignes de spawn</x:v>
      </x:c>
      <x:c r="R876" s="23" t="str">
        <x:v>Il est né dans une couche de sel gemme profondément enfouie sous terre. Autrefois, cette espèce était très prisée car elle partageait son précieux sel.</x:v>
      </x:c>
      <x:c r="S876" s="23" t="str"/>
      <x:c r="T876" s="23" t="str">
        <x:v>https://pixelmonmod.com/wiki/Nacli</x:v>
      </x:c>
    </x:row>
    <x:row r="877" ht="54" customHeight="1">
      <x:c r="A877" s="27" t="n">
        <x:v>933</x:v>
      </x:c>
      <x:c r="B877" s="23" t="str">
        <x:v>Amassel</x:v>
      </x:c>
      <x:c r="C877" s="23" t="str">
        <x:v>Naclstack</x:v>
      </x:c>
      <x:c r="D877" s="23" t="str">
        <x:v>Roche</x:v>
      </x:c>
      <x:c r="E877" s="23" t="str"/>
      <x:c r="F877" s="23" t="str">
        <x:v>Rare</x:v>
      </x:c>
      <x:c r="G877" s="45" t="n">
        <x:v>12000</x:v>
      </x:c>
      <x:c r="H877" s="45" t="n">
        <x:f>IF(G877="","",ROUNDUP(G877*3,0))</x:f>
        <x:v>36000</x:v>
      </x:c>
      <x:c r="I877" s="41" t="n">
        <x:v>0.6920000000000001</x:v>
      </x:c>
      <x:c r="J877" s="42" t="n">
        <x:v>60</x:v>
      </x:c>
      <x:c r="K877" s="42" t="n">
        <x:v>60</x:v>
      </x:c>
      <x:c r="L877" s="42" t="n">
        <x:v>100</x:v>
      </x:c>
      <x:c r="M877" s="42" t="n">
        <x:v>35</x:v>
      </x:c>
      <x:c r="N877" s="42" t="n">
        <x:v>65</x:v>
      </x:c>
      <x:c r="O877" s="42" t="n">
        <x:v>35</x:v>
      </x:c>
      <x:c r="P877" s="43" t="n">
        <x:f>IF(COUNT(J877:O877)=0,"",SUM(J877:O877))</x:f>
        <x:v>355</x:v>
      </x:c>
      <x:c r="Q877" s="23" t="str">
        <x:v>13 lignes de spawn</x:v>
      </x:c>
      <x:c r="R877" s="23" t="str">
        <x:v>Ce Pokémon sèche ses proies en les recouvrant de sel. Le processus d'affinage retire l'eau contenue dans leur corps.</x:v>
      </x:c>
      <x:c r="S877" s="23" t="str"/>
      <x:c r="T877" s="23" t="str">
        <x:v>https://pixelmonmod.com/wiki/Naclstack</x:v>
      </x:c>
    </x:row>
    <x:row r="878" ht="54" customHeight="1">
      <x:c r="A878" s="27" t="n">
        <x:v>934</x:v>
      </x:c>
      <x:c r="B878" s="23" t="str">
        <x:v>Garganacl</x:v>
      </x:c>
      <x:c r="C878" s="23" t="str">
        <x:v>Garganacl</x:v>
      </x:c>
      <x:c r="D878" s="23" t="str">
        <x:v>Roche</x:v>
      </x:c>
      <x:c r="E878" s="23" t="str"/>
      <x:c r="F878" s="23" t="str">
        <x:v>Ultra Rare</x:v>
      </x:c>
      <x:c r="G878" s="45" t="n">
        <x:v>75000</x:v>
      </x:c>
      <x:c r="H878" s="45" t="n">
        <x:f>IF(G878="","",ROUNDUP(G878*3,0))</x:f>
        <x:v>225000</x:v>
      </x:c>
      <x:c r="I878" s="41" t="n">
        <x:v>0.846</x:v>
      </x:c>
      <x:c r="J878" s="42" t="n">
        <x:v>100</x:v>
      </x:c>
      <x:c r="K878" s="42" t="n">
        <x:v>100</x:v>
      </x:c>
      <x:c r="L878" s="42" t="n">
        <x:v>130</x:v>
      </x:c>
      <x:c r="M878" s="42" t="n">
        <x:v>45</x:v>
      </x:c>
      <x:c r="N878" s="42" t="n">
        <x:v>90</x:v>
      </x:c>
      <x:c r="O878" s="42" t="n">
        <x:v>35</x:v>
      </x:c>
      <x:c r="P878" s="43" t="n">
        <x:f>IF(COUNT(J878:O878)=0,"",SUM(J878:O878))</x:f>
        <x:v>500</x:v>
      </x:c>
      <x:c r="Q878" s="23" t="str">
        <x:v>13 lignes de spawn</x:v>
      </x:c>
      <x:c r="R878" s="23" t="str">
        <x:v>Garganacl frotte ses doigts pour saupoudrer du sel sur les Pokémon blessés. Même les blessures graves guérissent rapidement après cela.</x:v>
      </x:c>
      <x:c r="S878" s="23" t="str"/>
      <x:c r="T878" s="23" t="str">
        <x:v>https://pixelmonmod.com/wiki/Garganacl</x:v>
      </x:c>
    </x:row>
    <x:row r="879" ht="54" customHeight="1">
      <x:c r="A879" s="27" t="n">
        <x:v>935</x:v>
      </x:c>
      <x:c r="B879" s="23" t="str">
        <x:v>Charbambin</x:v>
      </x:c>
      <x:c r="C879" s="23" t="str">
        <x:v>Charcadet</x:v>
      </x:c>
      <x:c r="D879" s="23" t="str">
        <x:v>Feu</x:v>
      </x:c>
      <x:c r="E879" s="23" t="str"/>
      <x:c r="F879" s="23" t="str">
        <x:v>Uncommon</x:v>
      </x:c>
      <x:c r="G879" s="45" t="n">
        <x:v>5000</x:v>
      </x:c>
      <x:c r="H879" s="45" t="n">
        <x:f>IF(G879="","",ROUNDUP(G879*3,0))</x:f>
        <x:v>15000</x:v>
      </x:c>
      <x:c r="I879" s="41" t="n">
        <x:v>1</x:v>
      </x:c>
      <x:c r="J879" s="42" t="n">
        <x:v>40</x:v>
      </x:c>
      <x:c r="K879" s="42" t="n">
        <x:v>50</x:v>
      </x:c>
      <x:c r="L879" s="42" t="n">
        <x:v>40</x:v>
      </x:c>
      <x:c r="M879" s="42" t="n">
        <x:v>50</x:v>
      </x:c>
      <x:c r="N879" s="42" t="n">
        <x:v>40</x:v>
      </x:c>
      <x:c r="O879" s="42" t="n">
        <x:v>35</x:v>
      </x:c>
      <x:c r="P879" s="43" t="n">
        <x:f>IF(COUNT(J879:O879)=0,"",SUM(J879:O879))</x:f>
        <x:v>255</x:v>
      </x:c>
      <x:c r="Q879" s="23" t="str">
        <x:v>2 lignes de spawn</x:v>
      </x:c>
      <x:c r="R879" s="23" t="str">
        <x:v>Un charbon brûlé a pris vie pour devenir un Pokémon. Animé d'un esprit combatif ardent, Charbambin n'hésitera pas à affronter même les adversaires les plus coriaces.</x:v>
      </x:c>
      <x:c r="S879" s="23" t="str"/>
      <x:c r="T879" s="23" t="str">
        <x:v>https://pixelmonmod.com/wiki/Charcadet</x:v>
      </x:c>
    </x:row>
    <x:row r="880" ht="54" customHeight="1">
      <x:c r="A880" s="27" t="n">
        <x:v>936</x:v>
      </x:c>
      <x:c r="B880" s="23" t="str">
        <x:v>Carmadura</x:v>
      </x:c>
      <x:c r="C880" s="23" t="str">
        <x:v>Armarouge</x:v>
      </x:c>
      <x:c r="D880" s="23" t="str">
        <x:v>Feu</x:v>
      </x:c>
      <x:c r="E880" s="23" t="str">
        <x:v>Psy</x:v>
      </x:c>
      <x:c r="F880" s="23" t="str">
        <x:v>Ultra Rare</x:v>
      </x:c>
      <x:c r="G880" s="45" t="n">
        <x:v>75000</x:v>
      </x:c>
      <x:c r="H880" s="45" t="n">
        <x:f>IF(G880="","",ROUNDUP(G880*3,0))</x:f>
        <x:v>225000</x:v>
      </x:c>
      <x:c r="I880" s="41" t="n">
        <x:v>1</x:v>
      </x:c>
      <x:c r="J880" s="42" t="n">
        <x:v>85</x:v>
      </x:c>
      <x:c r="K880" s="42" t="n">
        <x:v>60</x:v>
      </x:c>
      <x:c r="L880" s="42" t="n">
        <x:v>100</x:v>
      </x:c>
      <x:c r="M880" s="42" t="n">
        <x:v>125</x:v>
      </x:c>
      <x:c r="N880" s="42" t="n">
        <x:v>80</x:v>
      </x:c>
      <x:c r="O880" s="42" t="n">
        <x:v>75</x:v>
      </x:c>
      <x:c r="P880" s="43" t="n">
        <x:f>IF(COUNT(J880:O880)=0,"",SUM(J880:O880))</x:f>
        <x:v>525</x:v>
      </x:c>
      <x:c r="Q880" s="23" t="str">
        <x:v>2 lignes de spawn</x:v>
      </x:c>
      <x:c r="R880" s="23" t="str">
        <x:v>Carmadura a évolué grâce à une armure ayant appartenu à un guerrier distingué. Ce Pokémon est d'une loyauté exemplaire.</x:v>
      </x:c>
      <x:c r="S880" s="23" t="str"/>
      <x:c r="T880" s="23" t="str">
        <x:v>https://pixelmonmod.com/wiki/Armarouge</x:v>
      </x:c>
    </x:row>
    <x:row r="881" ht="54" customHeight="1">
      <x:c r="A881" s="27" t="n">
        <x:v>937</x:v>
      </x:c>
      <x:c r="B881" s="23" t="str">
        <x:v>Malvalame</x:v>
      </x:c>
      <x:c r="C881" s="23" t="str">
        <x:v>Ceruledge</x:v>
      </x:c>
      <x:c r="D881" s="23" t="str">
        <x:v>Feu</x:v>
      </x:c>
      <x:c r="E881" s="23" t="str">
        <x:v>Spectre</x:v>
      </x:c>
      <x:c r="F881" s="23" t="str">
        <x:v>Ultra Rare</x:v>
      </x:c>
      <x:c r="G881" s="45" t="n">
        <x:v>75000</x:v>
      </x:c>
      <x:c r="H881" s="45" t="n">
        <x:f>IF(G881="","",ROUNDUP(G881*3,0))</x:f>
        <x:v>225000</x:v>
      </x:c>
      <x:c r="I881" s="41" t="n">
        <x:v>1</x:v>
      </x:c>
      <x:c r="J881" s="42" t="n">
        <x:v>75</x:v>
      </x:c>
      <x:c r="K881" s="42" t="n">
        <x:v>125</x:v>
      </x:c>
      <x:c r="L881" s="42" t="n">
        <x:v>80</x:v>
      </x:c>
      <x:c r="M881" s="42" t="n">
        <x:v>60</x:v>
      </x:c>
      <x:c r="N881" s="42" t="n">
        <x:v>100</x:v>
      </x:c>
      <x:c r="O881" s="42" t="n">
        <x:v>85</x:v>
      </x:c>
      <x:c r="P881" s="43" t="n">
        <x:f>IF(COUNT(J881:O881)=0,"",SUM(J881:O881))</x:f>
        <x:v>525</x:v>
      </x:c>
      <x:c r="Q881" s="23" t="str">
        <x:v>2 lignes de spawn</x:v>
      </x:c>
      <x:c r="R881" s="23" t="str">
        <x:v>Les lames enflammées de ses bras brûlent avec la rancœur persistante d'un bretteur tombé avant d'accomplir sa mission.</x:v>
      </x:c>
      <x:c r="S881" s="23" t="str"/>
      <x:c r="T881" s="23" t="str">
        <x:v>https://pixelmonmod.com/wiki/Ceruledge</x:v>
      </x:c>
    </x:row>
    <x:row r="882" ht="54" customHeight="1">
      <x:c r="A882" s="27" t="n">
        <x:v>938</x:v>
      </x:c>
      <x:c r="B882" s="23" t="str">
        <x:v>Têtampoule</x:v>
      </x:c>
      <x:c r="C882" s="23" t="str">
        <x:v>Tadbulb</x:v>
      </x:c>
      <x:c r="D882" s="23" t="str">
        <x:v>Électrik</x:v>
      </x:c>
      <x:c r="E882" s="23" t="str"/>
      <x:c r="F882" s="23" t="str">
        <x:v>Rare</x:v>
      </x:c>
      <x:c r="G882" s="45" t="n">
        <x:v>12000</x:v>
      </x:c>
      <x:c r="H882" s="45" t="n">
        <x:f>IF(G882="","",ROUNDUP(G882*3,0))</x:f>
        <x:v>36000</x:v>
      </x:c>
      <x:c r="I882" s="41" t="n">
        <x:v>0.667</x:v>
      </x:c>
      <x:c r="J882" s="42" t="n">
        <x:v>61</x:v>
      </x:c>
      <x:c r="K882" s="42" t="n">
        <x:v>31</x:v>
      </x:c>
      <x:c r="L882" s="42" t="n">
        <x:v>41</x:v>
      </x:c>
      <x:c r="M882" s="42" t="n">
        <x:v>59</x:v>
      </x:c>
      <x:c r="N882" s="42" t="n">
        <x:v>35</x:v>
      </x:c>
      <x:c r="O882" s="42" t="n">
        <x:v>45</x:v>
      </x:c>
      <x:c r="P882" s="43" t="n">
        <x:f>IF(COUNT(J882:O882)=0,"",SUM(J882:O882))</x:f>
        <x:v>272</x:v>
      </x:c>
      <x:c r="Q882" s="23" t="str">
        <x:v>9 lignes de spawn</x:v>
      </x:c>
      <x:c r="R882" s="23" t="str">
        <x:v>Têtampoule agite sa queue pour produire de l'électricité. S'il ressent un danger, il fait clignoter sa tête pour alerter ses alliés.</x:v>
      </x:c>
      <x:c r="S882" s="23" t="str"/>
      <x:c r="T882" s="23" t="str">
        <x:v>https://pixelmonmod.com/wiki/Tadbulb</x:v>
      </x:c>
    </x:row>
    <x:row r="883" ht="54" customHeight="1">
      <x:c r="A883" s="27" t="n">
        <x:v>939</x:v>
      </x:c>
      <x:c r="B883" s="23" t="str">
        <x:v>Pomdrapi</x:v>
      </x:c>
      <x:c r="C883" s="23" t="str">
        <x:v>Bellibolt</x:v>
      </x:c>
      <x:c r="D883" s="23" t="str">
        <x:v>Électrik</x:v>
      </x:c>
      <x:c r="E883" s="23" t="str"/>
      <x:c r="F883" s="23" t="str">
        <x:v>Uncommon / Rare / Very Rare</x:v>
      </x:c>
      <x:c r="G883" s="45" t="n">
        <x:v>30000</x:v>
      </x:c>
      <x:c r="H883" s="45" t="n">
        <x:f>IF(G883="","",ROUNDUP(G883*3,0))</x:f>
        <x:v>90000</x:v>
      </x:c>
      <x:c r="I883" s="41" t="n">
        <x:v>0.33299999999999996</x:v>
      </x:c>
      <x:c r="J883" s="42" t="n">
        <x:v>109</x:v>
      </x:c>
      <x:c r="K883" s="42" t="n">
        <x:v>64</x:v>
      </x:c>
      <x:c r="L883" s="42" t="n">
        <x:v>91</x:v>
      </x:c>
      <x:c r="M883" s="42" t="n">
        <x:v>103</x:v>
      </x:c>
      <x:c r="N883" s="42" t="n">
        <x:v>83</x:v>
      </x:c>
      <x:c r="O883" s="42" t="n">
        <x:v>45</x:v>
      </x:c>
      <x:c r="P883" s="43" t="n">
        <x:f>IF(COUNT(J883:O883)=0,"",SUM(J883:O883))</x:f>
        <x:v>495</x:v>
      </x:c>
      <x:c r="Q883" s="23" t="str">
        <x:v>12 lignes de spawn</x:v>
      </x:c>
      <x:c r="R883" s="23" t="str">
        <x:v>Quand ce Pokémon contracte et relâche son corps gélatineux, la dynamo en forme de nombril dans son ventre produit une énorme quantité d'électricité.</x:v>
      </x:c>
      <x:c r="S883" s="23" t="str">
        <x:v>Égalité de fréquence; prix provisoire basé sur le palier le plus élevé. Very Rare aligné sur le palier Super Rare (provisoire).</x:v>
      </x:c>
      <x:c r="T883" s="23" t="str">
        <x:v>https://pixelmonmod.com/wiki/Bellibolt</x:v>
      </x:c>
    </x:row>
    <x:row r="884" ht="54" customHeight="1">
      <x:c r="A884" s="27" t="n">
        <x:v>940</x:v>
      </x:c>
      <x:c r="B884" s="23" t="str">
        <x:v>Zapétrel</x:v>
      </x:c>
      <x:c r="C884" s="23" t="str">
        <x:v>Wattrel</x:v>
      </x:c>
      <x:c r="D884" s="23" t="str">
        <x:v>Électrik</x:v>
      </x:c>
      <x:c r="E884" s="23" t="str">
        <x:v>Vol</x:v>
      </x:c>
      <x:c r="F884" s="23" t="str">
        <x:v>Uncommon / Ultra Rare</x:v>
      </x:c>
      <x:c r="G884" s="45" t="n">
        <x:v>75000</x:v>
      </x:c>
      <x:c r="H884" s="45" t="n">
        <x:f>IF(G884="","",ROUNDUP(G884*3,0))</x:f>
        <x:v>225000</x:v>
      </x:c>
      <x:c r="I884" s="41" t="n">
        <x:v>0.5</x:v>
      </x:c>
      <x:c r="J884" s="42" t="n">
        <x:v>40</x:v>
      </x:c>
      <x:c r="K884" s="42" t="n">
        <x:v>40</x:v>
      </x:c>
      <x:c r="L884" s="42" t="n">
        <x:v>35</x:v>
      </x:c>
      <x:c r="M884" s="42" t="n">
        <x:v>55</x:v>
      </x:c>
      <x:c r="N884" s="42" t="n">
        <x:v>40</x:v>
      </x:c>
      <x:c r="O884" s="42" t="n">
        <x:v>70</x:v>
      </x:c>
      <x:c r="P884" s="43" t="n">
        <x:f>IF(COUNT(J884:O884)=0,"",SUM(J884:O884))</x:f>
        <x:v>280</x:v>
      </x:c>
      <x:c r="Q884" s="23" t="str">
        <x:v>2 lignes de spawn</x:v>
      </x:c>
      <x:c r="R884" s="23" t="str">
        <x:v>Lorsque ses ailes prennent le vent, les os en leur sein produisent de l'électricité. Ce Pokémon plonge dans l'océan et électrocute ses proies pour les capturer.</x:v>
      </x:c>
      <x:c r="S884" s="23" t="str">
        <x:v>Égalité de fréquence; prix provisoire basé sur le palier le plus élevé.</x:v>
      </x:c>
      <x:c r="T884" s="23" t="str">
        <x:v>https://pixelmonmod.com/wiki/Wattrel</x:v>
      </x:c>
    </x:row>
    <x:row r="885" ht="54" customHeight="1">
      <x:c r="A885" s="27" t="n">
        <x:v>941</x:v>
      </x:c>
      <x:c r="B885" s="23" t="str">
        <x:v>Fulgulairo</x:v>
      </x:c>
      <x:c r="C885" s="23" t="str">
        <x:v>Kilowattrel</x:v>
      </x:c>
      <x:c r="D885" s="23" t="str">
        <x:v>Électrik</x:v>
      </x:c>
      <x:c r="E885" s="23" t="str">
        <x:v>Vol</x:v>
      </x:c>
      <x:c r="F885" s="23" t="str">
        <x:v>Ultra Rare</x:v>
      </x:c>
      <x:c r="G885" s="45" t="n">
        <x:v>75000</x:v>
      </x:c>
      <x:c r="H885" s="45" t="n">
        <x:f>IF(G885="","",ROUNDUP(G885*3,0))</x:f>
        <x:v>225000</x:v>
      </x:c>
      <x:c r="I885" s="41" t="n">
        <x:v>1</x:v>
      </x:c>
      <x:c r="J885" s="42" t="n">
        <x:v>70</x:v>
      </x:c>
      <x:c r="K885" s="42" t="n">
        <x:v>70</x:v>
      </x:c>
      <x:c r="L885" s="42" t="n">
        <x:v>60</x:v>
      </x:c>
      <x:c r="M885" s="42" t="n">
        <x:v>105</x:v>
      </x:c>
      <x:c r="N885" s="42" t="n">
        <x:v>60</x:v>
      </x:c>
      <x:c r="O885" s="42" t="n">
        <x:v>125</x:v>
      </x:c>
      <x:c r="P885" s="43" t="n">
        <x:f>IF(COUNT(J885:O885)=0,"",SUM(J885:O885))</x:f>
        <x:v>490</x:v>
      </x:c>
      <x:c r="Q885" s="23" t="str">
        <x:v>1 lignes de spawn</x:v>
      </x:c>
      <x:c r="R885" s="23" t="str">
        <x:v>Fulgulairo gonfle son sac vocal pour amplifier son électricité. En profitant du vent, il peut parcourir plus de 700 km en une seule journée.</x:v>
      </x:c>
      <x:c r="S885" s="23" t="str"/>
      <x:c r="T885" s="23" t="str">
        <x:v>https://pixelmonmod.com/wiki/Kilowattrel</x:v>
      </x:c>
    </x:row>
    <x:row r="886" ht="54" customHeight="1">
      <x:c r="A886" s="27" t="n">
        <x:v>942</x:v>
      </x:c>
      <x:c r="B886" s="23" t="str">
        <x:v>Grondogue</x:v>
      </x:c>
      <x:c r="C886" s="23" t="str">
        <x:v>Maschiff</x:v>
      </x:c>
      <x:c r="D886" s="23" t="str">
        <x:v>Ténèbres</x:v>
      </x:c>
      <x:c r="E886" s="23" t="str"/>
      <x:c r="F886" s="23" t="str">
        <x:v>Uncommon</x:v>
      </x:c>
      <x:c r="G886" s="45" t="n">
        <x:v>5000</x:v>
      </x:c>
      <x:c r="H886" s="45" t="n">
        <x:f>IF(G886="","",ROUNDUP(G886*3,0))</x:f>
        <x:v>15000</x:v>
      </x:c>
      <x:c r="I886" s="41" t="n">
        <x:v>1</x:v>
      </x:c>
      <x:c r="J886" s="42" t="n">
        <x:v>60</x:v>
      </x:c>
      <x:c r="K886" s="42" t="n">
        <x:v>78</x:v>
      </x:c>
      <x:c r="L886" s="42" t="n">
        <x:v>60</x:v>
      </x:c>
      <x:c r="M886" s="42" t="n">
        <x:v>40</x:v>
      </x:c>
      <x:c r="N886" s="42" t="n">
        <x:v>51</x:v>
      </x:c>
      <x:c r="O886" s="42" t="n">
        <x:v>51</x:v>
      </x:c>
      <x:c r="P886" s="43" t="n">
        <x:f>IF(COUNT(J886:O886)=0,"",SUM(J886:O886))</x:f>
        <x:v>340</x:v>
      </x:c>
      <x:c r="Q886" s="23" t="str">
        <x:v>1 lignes de spawn</x:v>
      </x:c>
      <x:c r="R886" s="23" t="str">
        <x:v>Il fronce toujours les sourcils pour que ses adversaires le prennent au sérieux, mais même les enfants en pleurs éclatent de rire en voyant son visage.</x:v>
      </x:c>
      <x:c r="S886" s="23" t="str"/>
      <x:c r="T886" s="23" t="str">
        <x:v>https://pixelmonmod.com/wiki/Maschiff</x:v>
      </x:c>
    </x:row>
    <x:row r="887" ht="54" customHeight="1">
      <x:c r="A887" s="27" t="n">
        <x:v>943</x:v>
      </x:c>
      <x:c r="B887" s="23" t="str">
        <x:v>Dogrino</x:v>
      </x:c>
      <x:c r="C887" s="23" t="str">
        <x:v>Mabosstiff</x:v>
      </x:c>
      <x:c r="D887" s="23" t="str">
        <x:v>Ténèbres</x:v>
      </x:c>
      <x:c r="E887" s="23" t="str"/>
      <x:c r="F887" s="23" t="str">
        <x:v>Ultra Rare</x:v>
      </x:c>
      <x:c r="G887" s="45" t="n">
        <x:v>75000</x:v>
      </x:c>
      <x:c r="H887" s="45" t="n">
        <x:f>IF(G887="","",ROUNDUP(G887*3,0))</x:f>
        <x:v>225000</x:v>
      </x:c>
      <x:c r="I887" s="41" t="n">
        <x:v>1</x:v>
      </x:c>
      <x:c r="J887" s="42" t="n">
        <x:v>80</x:v>
      </x:c>
      <x:c r="K887" s="42" t="n">
        <x:v>120</x:v>
      </x:c>
      <x:c r="L887" s="42" t="n">
        <x:v>90</x:v>
      </x:c>
      <x:c r="M887" s="42" t="n">
        <x:v>60</x:v>
      </x:c>
      <x:c r="N887" s="42" t="n">
        <x:v>70</x:v>
      </x:c>
      <x:c r="O887" s="42" t="n">
        <x:v>85</x:v>
      </x:c>
      <x:c r="P887" s="43" t="n">
        <x:f>IF(COUNT(J887:O887)=0,"",SUM(J887:O887))</x:f>
        <x:v>505</x:v>
      </x:c>
      <x:c r="Q887" s="23" t="str">
        <x:v>1 lignes de spawn</x:v>
      </x:c>
      <x:c r="R887" s="23" t="str">
        <x:v>Ce Pokémon peut stocker de l'énergie dans sa large guimpe. Dogrino libère cette énergie d'un seul coup pour balayer ses ennemis.</x:v>
      </x:c>
      <x:c r="S887" s="23" t="str"/>
      <x:c r="T887" s="23" t="str">
        <x:v>https://pixelmonmod.com/wiki/Mabosstiff</x:v>
      </x:c>
    </x:row>
    <x:row r="888" ht="54" customHeight="1">
      <x:c r="A888" s="27" t="n">
        <x:v>944</x:v>
      </x:c>
      <x:c r="B888" s="23" t="str">
        <x:v>Gribouraigne</x:v>
      </x:c>
      <x:c r="C888" s="23" t="str">
        <x:v>Shroodle</x:v>
      </x:c>
      <x:c r="D888" s="23" t="str">
        <x:v>Poison</x:v>
      </x:c>
      <x:c r="E888" s="23" t="str">
        <x:v>Normal</x:v>
      </x:c>
      <x:c r="F888" s="23" t="str">
        <x:v>Uncommon</x:v>
      </x:c>
      <x:c r="G888" s="45" t="n">
        <x:v>5000</x:v>
      </x:c>
      <x:c r="H888" s="45" t="n">
        <x:f>IF(G888="","",ROUNDUP(G888*3,0))</x:f>
        <x:v>15000</x:v>
      </x:c>
      <x:c r="I888" s="41" t="n">
        <x:v>1</x:v>
      </x:c>
      <x:c r="J888" s="42" t="n">
        <x:v>40</x:v>
      </x:c>
      <x:c r="K888" s="42" t="n">
        <x:v>65</x:v>
      </x:c>
      <x:c r="L888" s="42" t="n">
        <x:v>35</x:v>
      </x:c>
      <x:c r="M888" s="42" t="n">
        <x:v>40</x:v>
      </x:c>
      <x:c r="N888" s="42" t="n">
        <x:v>35</x:v>
      </x:c>
      <x:c r="O888" s="42" t="n">
        <x:v>75</x:v>
      </x:c>
      <x:c r="P888" s="43" t="n">
        <x:f>IF(COUNT(J888:O888)=0,"",SUM(J888:O888))</x:f>
        <x:v>290</x:v>
      </x:c>
      <x:c r="Q888" s="23" t="str">
        <x:v>2 lignes de spawn</x:v>
      </x:c>
      <x:c r="R888" s="23" t="str">
        <x:v>D'ordinaire placide, ce Pokémon plante néanmoins ses dents acérées imprégnées de poison dans quiconque l'irrite, provoquant une paralysie chez sa victime.</x:v>
      </x:c>
      <x:c r="S888" s="23" t="str"/>
      <x:c r="T888" s="23" t="str">
        <x:v>https://pixelmonmod.com/wiki/Shroodle</x:v>
      </x:c>
    </x:row>
    <x:row r="889" ht="54" customHeight="1">
      <x:c r="A889" s="27" t="n">
        <x:v>945</x:v>
      </x:c>
      <x:c r="B889" s="23" t="str">
        <x:v>Tag-Tag</x:v>
      </x:c>
      <x:c r="C889" s="23" t="str">
        <x:v>Grafaiai</x:v>
      </x:c>
      <x:c r="D889" s="23" t="str">
        <x:v>Poison</x:v>
      </x:c>
      <x:c r="E889" s="23" t="str">
        <x:v>Normal</x:v>
      </x:c>
      <x:c r="F889" s="23" t="str">
        <x:v>Rare</x:v>
      </x:c>
      <x:c r="G889" s="45" t="n">
        <x:v>12000</x:v>
      </x:c>
      <x:c r="H889" s="45" t="n">
        <x:f>IF(G889="","",ROUNDUP(G889*3,0))</x:f>
        <x:v>36000</x:v>
      </x:c>
      <x:c r="I889" s="41" t="n">
        <x:v>1</x:v>
      </x:c>
      <x:c r="J889" s="42" t="n">
        <x:v>63</x:v>
      </x:c>
      <x:c r="K889" s="42" t="n">
        <x:v>95</x:v>
      </x:c>
      <x:c r="L889" s="42" t="n">
        <x:v>65</x:v>
      </x:c>
      <x:c r="M889" s="42" t="n">
        <x:v>80</x:v>
      </x:c>
      <x:c r="N889" s="42" t="n">
        <x:v>72</x:v>
      </x:c>
      <x:c r="O889" s="42" t="n">
        <x:v>110</x:v>
      </x:c>
      <x:c r="P889" s="43" t="n">
        <x:f>IF(COUNT(J889:O889)=0,"",SUM(J889:O889))</x:f>
        <x:v>485</x:v>
      </x:c>
      <x:c r="Q889" s="23" t="str">
        <x:v>2 lignes de spawn</x:v>
      </x:c>
      <x:c r="R889" s="23" t="str">
        <x:v>La couleur de sa salive empoisonnée dépend de ce que le Pokémon mange. Tag-Tag enduit ses doigts de salive et dessine des motifs sur les arbres des forêts.</x:v>
      </x:c>
      <x:c r="S889" s="23" t="str"/>
      <x:c r="T889" s="23" t="str">
        <x:v>https://pixelmonmod.com/wiki/Grafaiai</x:v>
      </x:c>
    </x:row>
    <x:row r="890" ht="54" customHeight="1">
      <x:c r="A890" s="27" t="n">
        <x:v>946</x:v>
      </x:c>
      <x:c r="B890" s="23" t="str">
        <x:v>Virovent</x:v>
      </x:c>
      <x:c r="C890" s="23" t="str">
        <x:v>Bramblin</x:v>
      </x:c>
      <x:c r="D890" s="23" t="str">
        <x:v>Plante</x:v>
      </x:c>
      <x:c r="E890" s="23" t="str">
        <x:v>Spectre</x:v>
      </x:c>
      <x:c r="F890" s="23" t="str">
        <x:v>Uncommon / Very Rare</x:v>
      </x:c>
      <x:c r="G890" s="45" t="n">
        <x:v>30000</x:v>
      </x:c>
      <x:c r="H890" s="45" t="n">
        <x:f>IF(G890="","",ROUNDUP(G890*3,0))</x:f>
        <x:v>90000</x:v>
      </x:c>
      <x:c r="I890" s="41" t="n">
        <x:v>0.5</x:v>
      </x:c>
      <x:c r="J890" s="42" t="n">
        <x:v>40</x:v>
      </x:c>
      <x:c r="K890" s="42" t="n">
        <x:v>65</x:v>
      </x:c>
      <x:c r="L890" s="42" t="n">
        <x:v>30</x:v>
      </x:c>
      <x:c r="M890" s="42" t="n">
        <x:v>45</x:v>
      </x:c>
      <x:c r="N890" s="42" t="n">
        <x:v>35</x:v>
      </x:c>
      <x:c r="O890" s="42" t="n">
        <x:v>60</x:v>
      </x:c>
      <x:c r="P890" s="43" t="n">
        <x:f>IF(COUNT(J890:O890)=0,"",SUM(J890:O890))</x:f>
        <x:v>275</x:v>
      </x:c>
      <x:c r="Q890" s="23" t="str">
        <x:v>6 lignes de spawn</x:v>
      </x:c>
      <x:c r="R890" s="23" t="str">
        <x:v>Une âme incapable de rejoindre l'au-delà fut ballotée par le vent jusqu'à s'emmêler dans de l'herbe sèche, devenant ainsi un Pokémon.</x:v>
      </x:c>
      <x:c r="S890" s="23" t="str">
        <x:v>Égalité de fréquence; prix provisoire basé sur le palier le plus élevé. Very Rare aligné sur le palier Super Rare (provisoire).</x:v>
      </x:c>
      <x:c r="T890" s="23" t="str">
        <x:v>https://pixelmonmod.com/wiki/Bramblin</x:v>
      </x:c>
    </x:row>
    <x:row r="891" ht="54" customHeight="1">
      <x:c r="A891" s="27" t="n">
        <x:v>947</x:v>
      </x:c>
      <x:c r="B891" s="23" t="str">
        <x:v>Virevorreur</x:v>
      </x:c>
      <x:c r="C891" s="23" t="str">
        <x:v>Brambleghast</x:v>
      </x:c>
      <x:c r="D891" s="23" t="str">
        <x:v>Plante</x:v>
      </x:c>
      <x:c r="E891" s="23" t="str">
        <x:v>Spectre</x:v>
      </x:c>
      <x:c r="F891" s="23" t="str">
        <x:v>Ultra Rare</x:v>
      </x:c>
      <x:c r="G891" s="45" t="n">
        <x:v>75000</x:v>
      </x:c>
      <x:c r="H891" s="45" t="n">
        <x:f>IF(G891="","",ROUNDUP(G891*3,0))</x:f>
        <x:v>225000</x:v>
      </x:c>
      <x:c r="I891" s="41" t="n">
        <x:v>1</x:v>
      </x:c>
      <x:c r="J891" s="42" t="n">
        <x:v>55</x:v>
      </x:c>
      <x:c r="K891" s="42" t="n">
        <x:v>115</x:v>
      </x:c>
      <x:c r="L891" s="42" t="n">
        <x:v>70</x:v>
      </x:c>
      <x:c r="M891" s="42" t="n">
        <x:v>80</x:v>
      </x:c>
      <x:c r="N891" s="42" t="n">
        <x:v>70</x:v>
      </x:c>
      <x:c r="O891" s="42" t="n">
        <x:v>90</x:v>
      </x:c>
      <x:c r="P891" s="43" t="n">
        <x:f>IF(COUNT(J891:O891)=0,"",SUM(J891:O891))</x:f>
        <x:v>480</x:v>
      </x:c>
      <x:c r="Q891" s="23" t="str">
        <x:v>6 lignes de spawn</x:v>
      </x:c>
      <x:c r="R891" s="23" t="str">
        <x:v>Il ouvre les branches de sa tête pour envelopper sa proie. Une fois qu'il a absorbé toute l'énergie vitale dont il a besoin, il la rejette et l'abandonne.</x:v>
      </x:c>
      <x:c r="S891" s="23" t="str"/>
      <x:c r="T891" s="23" t="str">
        <x:v>https://pixelmonmod.com/wiki/Brambleghast</x:v>
      </x:c>
    </x:row>
    <x:row r="892" ht="54" customHeight="1">
      <x:c r="A892" s="27" t="n">
        <x:v>948</x:v>
      </x:c>
      <x:c r="B892" s="23" t="str">
        <x:v>Batracné</x:v>
      </x:c>
      <x:c r="C892" s="23" t="str">
        <x:v>Toedscool</x:v>
      </x:c>
      <x:c r="D892" s="23" t="str">
        <x:v>Sol</x:v>
      </x:c>
      <x:c r="E892" s="23" t="str">
        <x:v>Plante</x:v>
      </x:c>
      <x:c r="F892" s="23" t="str">
        <x:v>Uncommon</x:v>
      </x:c>
      <x:c r="G892" s="45" t="n">
        <x:v>5000</x:v>
      </x:c>
      <x:c r="H892" s="45" t="n">
        <x:f>IF(G892="","",ROUNDUP(G892*3,0))</x:f>
        <x:v>15000</x:v>
      </x:c>
      <x:c r="I892" s="41" t="n">
        <x:v>1</x:v>
      </x:c>
      <x:c r="J892" s="42" t="n">
        <x:v>40</x:v>
      </x:c>
      <x:c r="K892" s="42" t="n">
        <x:v>40</x:v>
      </x:c>
      <x:c r="L892" s="42" t="n">
        <x:v>35</x:v>
      </x:c>
      <x:c r="M892" s="42" t="n">
        <x:v>50</x:v>
      </x:c>
      <x:c r="N892" s="42" t="n">
        <x:v>100</x:v>
      </x:c>
      <x:c r="O892" s="42" t="n">
        <x:v>70</x:v>
      </x:c>
      <x:c r="P892" s="43" t="n">
        <x:f>IF(COUNT(J892:O892)=0,"",SUM(J892:O892))</x:f>
        <x:v>335</x:v>
      </x:c>
      <x:c r="Q892" s="23" t="str">
        <x:v>3 lignes de spawn</x:v>
      </x:c>
      <x:c r="R892" s="23" t="str">
        <x:v>Batracné vit dans les forêts étouffantes. Les lamelles qui tombent de son corps sont caoutchouteuses et très délicieuses.</x:v>
      </x:c>
      <x:c r="S892" s="23" t="str"/>
      <x:c r="T892" s="23" t="str">
        <x:v>https://pixelmonmod.com/wiki/Toedscool</x:v>
      </x:c>
    </x:row>
    <x:row r="893" ht="54" customHeight="1">
      <x:c r="A893" s="27" t="n">
        <x:v>949</x:v>
      </x:c>
      <x:c r="B893" s="23" t="str">
        <x:v>Batracruel</x:v>
      </x:c>
      <x:c r="C893" s="23" t="str">
        <x:v>Toedscruel</x:v>
      </x:c>
      <x:c r="D893" s="23" t="str">
        <x:v>Sol</x:v>
      </x:c>
      <x:c r="E893" s="23" t="str">
        <x:v>Plante</x:v>
      </x:c>
      <x:c r="F893" s="23" t="str">
        <x:v>Ultra Rare</x:v>
      </x:c>
      <x:c r="G893" s="45" t="n">
        <x:v>75000</x:v>
      </x:c>
      <x:c r="H893" s="45" t="n">
        <x:f>IF(G893="","",ROUNDUP(G893*3,0))</x:f>
        <x:v>225000</x:v>
      </x:c>
      <x:c r="I893" s="41" t="n">
        <x:v>1</x:v>
      </x:c>
      <x:c r="J893" s="42" t="n">
        <x:v>80</x:v>
      </x:c>
      <x:c r="K893" s="42" t="n">
        <x:v>70</x:v>
      </x:c>
      <x:c r="L893" s="42" t="n">
        <x:v>65</x:v>
      </x:c>
      <x:c r="M893" s="42" t="n">
        <x:v>80</x:v>
      </x:c>
      <x:c r="N893" s="42" t="n">
        <x:v>120</x:v>
      </x:c>
      <x:c r="O893" s="42" t="n">
        <x:v>100</x:v>
      </x:c>
      <x:c r="P893" s="43" t="n">
        <x:f>IF(COUNT(J893:O893)=0,"",SUM(J893:O893))</x:f>
        <x:v>515</x:v>
      </x:c>
      <x:c r="Q893" s="23" t="str">
        <x:v>3 lignes de spawn</x:v>
      </x:c>
      <x:c r="R893" s="23" t="str">
        <x:v>Ces Pokémon se rassemblent en groupes et forment des colonies au cœur des forêts. Ils détestent absolument que des étrangers s'approchent.</x:v>
      </x:c>
      <x:c r="S893" s="23" t="str"/>
      <x:c r="T893" s="23" t="str">
        <x:v>https://pixelmonmod.com/wiki/Toedscruel</x:v>
      </x:c>
    </x:row>
    <x:row r="894" ht="54" customHeight="1">
      <x:c r="A894" s="27" t="n">
        <x:v>950</x:v>
      </x:c>
      <x:c r="B894" s="23" t="str">
        <x:v>Craparoi</x:v>
      </x:c>
      <x:c r="C894" s="23" t="str">
        <x:v>Klawf</x:v>
      </x:c>
      <x:c r="D894" s="23" t="str">
        <x:v>Roche</x:v>
      </x:c>
      <x:c r="E894" s="23" t="str"/>
      <x:c r="F894" s="23" t="str">
        <x:v>Uncommon</x:v>
      </x:c>
      <x:c r="G894" s="45" t="n">
        <x:v>5000</x:v>
      </x:c>
      <x:c r="H894" s="45" t="n">
        <x:f>IF(G894="","",ROUNDUP(G894*3,0))</x:f>
        <x:v>15000</x:v>
      </x:c>
      <x:c r="I894" s="41" t="n">
        <x:v>1</x:v>
      </x:c>
      <x:c r="J894" s="42" t="n">
        <x:v>70</x:v>
      </x:c>
      <x:c r="K894" s="42" t="n">
        <x:v>100</x:v>
      </x:c>
      <x:c r="L894" s="42" t="n">
        <x:v>115</x:v>
      </x:c>
      <x:c r="M894" s="42" t="n">
        <x:v>35</x:v>
      </x:c>
      <x:c r="N894" s="42" t="n">
        <x:v>55</x:v>
      </x:c>
      <x:c r="O894" s="42" t="n">
        <x:v>75</x:v>
      </x:c>
      <x:c r="P894" s="43" t="n">
        <x:f>IF(COUNT(J894:O894)=0,"",SUM(J894:O894))</x:f>
        <x:v>450</x:v>
      </x:c>
      <x:c r="Q894" s="23" t="str">
        <x:v>4 lignes de spawn</x:v>
      </x:c>
      <x:c r="R894" s="23" t="str">
        <x:v>Craparoi se suspend la tête en bas aux falaises pour guetter ses proies. Mais il ne peut pas rester ainsi longtemps, car le sang lui monte à la tête.</x:v>
      </x:c>
      <x:c r="S894" s="23" t="str"/>
      <x:c r="T894" s="23" t="str">
        <x:v>https://pixelmonmod.com/wiki/Klawf</x:v>
      </x:c>
    </x:row>
    <x:row r="895" ht="54" customHeight="1">
      <x:c r="A895" s="27" t="n">
        <x:v>951</x:v>
      </x:c>
      <x:c r="B895" s="23" t="str">
        <x:v>Pimito</x:v>
      </x:c>
      <x:c r="C895" s="23" t="str">
        <x:v>Capsakid</x:v>
      </x:c>
      <x:c r="D895" s="23" t="str">
        <x:v>Plante</x:v>
      </x:c>
      <x:c r="E895" s="23" t="str"/>
      <x:c r="F895" s="23" t="str">
        <x:v>Uncommon</x:v>
      </x:c>
      <x:c r="G895" s="45" t="n">
        <x:v>5000</x:v>
      </x:c>
      <x:c r="H895" s="45" t="n">
        <x:f>IF(G895="","",ROUNDUP(G895*3,0))</x:f>
        <x:v>15000</x:v>
      </x:c>
      <x:c r="I895" s="41" t="n">
        <x:v>1</x:v>
      </x:c>
      <x:c r="J895" s="42" t="n">
        <x:v>50</x:v>
      </x:c>
      <x:c r="K895" s="42" t="n">
        <x:v>62</x:v>
      </x:c>
      <x:c r="L895" s="42" t="n">
        <x:v>40</x:v>
      </x:c>
      <x:c r="M895" s="42" t="n">
        <x:v>62</x:v>
      </x:c>
      <x:c r="N895" s="42" t="n">
        <x:v>40</x:v>
      </x:c>
      <x:c r="O895" s="42" t="n">
        <x:v>50</x:v>
      </x:c>
      <x:c r="P895" s="43" t="n">
        <x:f>IF(COUNT(J895:O895)=0,"",SUM(J895:O895))</x:f>
        <x:v>304</x:v>
      </x:c>
      <x:c r="Q895" s="23" t="str">
        <x:v>2 lignes de spawn</x:v>
      </x:c>
      <x:c r="R895" s="23" t="str">
        <x:v>Plus ce Pokémon profite de la lumière du soleil, plus son corps produit de composés épicés, rendant ainsi ses attaques plus piquantes.</x:v>
      </x:c>
      <x:c r="S895" s="23" t="str"/>
      <x:c r="T895" s="23" t="str">
        <x:v>https://pixelmonmod.com/wiki/Capsakid</x:v>
      </x:c>
    </x:row>
    <x:row r="896" ht="54" customHeight="1">
      <x:c r="A896" s="27" t="n">
        <x:v>952</x:v>
      </x:c>
      <x:c r="B896" s="23" t="str">
        <x:v>Scovilain</x:v>
      </x:c>
      <x:c r="C896" s="23" t="str">
        <x:v>Scovillain</x:v>
      </x:c>
      <x:c r="D896" s="23" t="str">
        <x:v>Plante</x:v>
      </x:c>
      <x:c r="E896" s="23" t="str">
        <x:v>Feu</x:v>
      </x:c>
      <x:c r="F896" s="23" t="str">
        <x:v>Ultra Rare</x:v>
      </x:c>
      <x:c r="G896" s="45" t="n">
        <x:v>75000</x:v>
      </x:c>
      <x:c r="H896" s="45" t="n">
        <x:f>IF(G896="","",ROUNDUP(G896*3,0))</x:f>
        <x:v>225000</x:v>
      </x:c>
      <x:c r="I896" s="41" t="n">
        <x:v>1</x:v>
      </x:c>
      <x:c r="J896" s="42" t="n">
        <x:v>65</x:v>
      </x:c>
      <x:c r="K896" s="42" t="n">
        <x:v>108</x:v>
      </x:c>
      <x:c r="L896" s="42" t="n">
        <x:v>65</x:v>
      </x:c>
      <x:c r="M896" s="42" t="n">
        <x:v>108</x:v>
      </x:c>
      <x:c r="N896" s="42" t="n">
        <x:v>65</x:v>
      </x:c>
      <x:c r="O896" s="42" t="n">
        <x:v>75</x:v>
      </x:c>
      <x:c r="P896" s="43" t="n">
        <x:f>IF(COUNT(J896:O896)=0,"",SUM(J896:O896))</x:f>
        <x:v>486</x:v>
      </x:c>
      <x:c r="Q896" s="23" t="str">
        <x:v>2 lignes de spawn</x:v>
      </x:c>
      <x:c r="R896" s="23" t="str">
        <x:v>La tête rouge transforme les substances piquantes en énergie de feu et projette tout autour un jet de flammes d'une intensité brûlante.</x:v>
      </x:c>
      <x:c r="S896" s="23" t="str"/>
      <x:c r="T896" s="23" t="str">
        <x:v>https://pixelmonmod.com/wiki/Scovillain</x:v>
      </x:c>
    </x:row>
    <x:row r="897" ht="54" customHeight="1">
      <x:c r="A897" s="27" t="n">
        <x:v>953</x:v>
      </x:c>
      <x:c r="B897" s="23" t="str">
        <x:v>Pâtachiot</x:v>
      </x:c>
      <x:c r="C897" s="23" t="str">
        <x:v>Rellor</x:v>
      </x:c>
      <x:c r="D897" s="23" t="str">
        <x:v>Insecte</x:v>
      </x:c>
      <x:c r="E897" s="23" t="str"/>
      <x:c r="F897" s="23" t="str">
        <x:v>Uncommon</x:v>
      </x:c>
      <x:c r="G897" s="45" t="n">
        <x:v>5000</x:v>
      </x:c>
      <x:c r="H897" s="45" t="n">
        <x:f>IF(G897="","",ROUNDUP(G897*3,0))</x:f>
        <x:v>15000</x:v>
      </x:c>
      <x:c r="I897" s="41" t="n">
        <x:v>1</x:v>
      </x:c>
      <x:c r="J897" s="42" t="n">
        <x:v>41</x:v>
      </x:c>
      <x:c r="K897" s="42" t="n">
        <x:v>50</x:v>
      </x:c>
      <x:c r="L897" s="42" t="n">
        <x:v>60</x:v>
      </x:c>
      <x:c r="M897" s="42" t="n">
        <x:v>31</x:v>
      </x:c>
      <x:c r="N897" s="42" t="n">
        <x:v>58</x:v>
      </x:c>
      <x:c r="O897" s="42" t="n">
        <x:v>30</x:v>
      </x:c>
      <x:c r="P897" s="43" t="n">
        <x:f>IF(COUNT(J897:O897)=0,"",SUM(J897:O897))</x:f>
        <x:v>270</x:v>
      </x:c>
      <x:c r="Q897" s="23" t="str">
        <x:v>3 lignes de spawn</x:v>
      </x:c>
      <x:c r="R897" s="23" t="str">
        <x:v>Ce Pokémon crée une boule de boue en mélangeant sable et terre avec de l'énergie psychique. Il chérit cette boule plus que sa propre vie.</x:v>
      </x:c>
      <x:c r="S897" s="23" t="str"/>
      <x:c r="T897" s="23" t="str">
        <x:v>https://pixelmonmod.com/wiki/Rellor</x:v>
      </x:c>
    </x:row>
    <x:row r="898" ht="54" customHeight="1">
      <x:c r="A898" s="27" t="n">
        <x:v>954</x:v>
      </x:c>
      <x:c r="B898" s="23" t="str">
        <x:v>Scovilain</x:v>
      </x:c>
      <x:c r="C898" s="23" t="str">
        <x:v>Rabsca</x:v>
      </x:c>
      <x:c r="D898" s="23" t="str">
        <x:v>Insecte</x:v>
      </x:c>
      <x:c r="E898" s="23" t="str">
        <x:v>Psy</x:v>
      </x:c>
      <x:c r="F898" s="23" t="str">
        <x:v>Ultra Rare</x:v>
      </x:c>
      <x:c r="G898" s="45" t="n">
        <x:v>75000</x:v>
      </x:c>
      <x:c r="H898" s="45" t="n">
        <x:f>IF(G898="","",ROUNDUP(G898*3,0))</x:f>
        <x:v>225000</x:v>
      </x:c>
      <x:c r="I898" s="41" t="n">
        <x:v>1</x:v>
      </x:c>
      <x:c r="J898" s="42" t="n">
        <x:v>75</x:v>
      </x:c>
      <x:c r="K898" s="42" t="n">
        <x:v>50</x:v>
      </x:c>
      <x:c r="L898" s="42" t="n">
        <x:v>85</x:v>
      </x:c>
      <x:c r="M898" s="42" t="n">
        <x:v>115</x:v>
      </x:c>
      <x:c r="N898" s="42" t="n">
        <x:v>100</x:v>
      </x:c>
      <x:c r="O898" s="42" t="n">
        <x:v>45</x:v>
      </x:c>
      <x:c r="P898" s="43" t="n">
        <x:f>IF(COUNT(J898:O898)=0,"",SUM(J898:O898))</x:f>
        <x:v>470</x:v>
      </x:c>
      <x:c r="Q898" s="23" t="str">
        <x:v>4 lignes de spawn</x:v>
      </x:c>
      <x:c r="R898" s="23" t="str">
        <x:v>Le corps qui soutient la boule bouge à peine. On pense donc que le vrai corps de ce Pokémon se trouve en réalité à l'intérieur de la boule.</x:v>
      </x:c>
      <x:c r="S898" s="23" t="str"/>
      <x:c r="T898" s="23" t="str">
        <x:v>https://pixelmonmod.com/wiki/Rabsca</x:v>
      </x:c>
    </x:row>
    <x:row r="899" ht="54" customHeight="1">
      <x:c r="A899" s="27" t="n">
        <x:v>955</x:v>
      </x:c>
      <x:c r="B899" s="23" t="str">
        <x:v>Flotillon</x:v>
      </x:c>
      <x:c r="C899" s="23" t="str">
        <x:v>Flittle</x:v>
      </x:c>
      <x:c r="D899" s="23" t="str">
        <x:v>Psy</x:v>
      </x:c>
      <x:c r="E899" s="23" t="str"/>
      <x:c r="F899" s="23" t="str">
        <x:v>Uncommon</x:v>
      </x:c>
      <x:c r="G899" s="45" t="n">
        <x:v>5000</x:v>
      </x:c>
      <x:c r="H899" s="45" t="n">
        <x:f>IF(G899="","",ROUNDUP(G899*3,0))</x:f>
        <x:v>15000</x:v>
      </x:c>
      <x:c r="I899" s="41" t="n">
        <x:v>1</x:v>
      </x:c>
      <x:c r="J899" s="42" t="n">
        <x:v>30</x:v>
      </x:c>
      <x:c r="K899" s="42" t="n">
        <x:v>35</x:v>
      </x:c>
      <x:c r="L899" s="42" t="n">
        <x:v>30</x:v>
      </x:c>
      <x:c r="M899" s="42" t="n">
        <x:v>55</x:v>
      </x:c>
      <x:c r="N899" s="42" t="n">
        <x:v>30</x:v>
      </x:c>
      <x:c r="O899" s="42" t="n">
        <x:v>75</x:v>
      </x:c>
      <x:c r="P899" s="43" t="n">
        <x:f>IF(COUNT(J899:O899)=0,"",SUM(J899:O899))</x:f>
        <x:v>255</x:v>
      </x:c>
      <x:c r="Q899" s="23" t="str">
        <x:v>2 lignes de spawn</x:v>
      </x:c>
      <x:c r="R899" s="23" t="str">
        <x:v>Les orteils de Flotillon lévitent d'environ un centimètre grâce à l'énergie psy émise par les franges de son ventre.</x:v>
      </x:c>
      <x:c r="S899" s="23" t="str"/>
      <x:c r="T899" s="23" t="str">
        <x:v>https://pixelmonmod.com/wiki/Flittle</x:v>
      </x:c>
    </x:row>
    <x:row r="900" ht="54" customHeight="1">
      <x:c r="A900" s="27" t="n">
        <x:v>956</x:v>
      </x:c>
      <x:c r="B900" s="23" t="str">
        <x:v>Flamenroule</x:v>
      </x:c>
      <x:c r="C900" s="23" t="str">
        <x:v>Espathra</x:v>
      </x:c>
      <x:c r="D900" s="23" t="str">
        <x:v>Psy</x:v>
      </x:c>
      <x:c r="E900" s="23" t="str"/>
      <x:c r="F900" s="23" t="str">
        <x:v>Ultra Rare</x:v>
      </x:c>
      <x:c r="G900" s="45" t="n">
        <x:v>75000</x:v>
      </x:c>
      <x:c r="H900" s="45" t="n">
        <x:f>IF(G900="","",ROUNDUP(G900*3,0))</x:f>
        <x:v>225000</x:v>
      </x:c>
      <x:c r="I900" s="41" t="n">
        <x:v>1</x:v>
      </x:c>
      <x:c r="J900" s="42" t="n">
        <x:v>95</x:v>
      </x:c>
      <x:c r="K900" s="42" t="n">
        <x:v>60</x:v>
      </x:c>
      <x:c r="L900" s="42" t="n">
        <x:v>60</x:v>
      </x:c>
      <x:c r="M900" s="42" t="n">
        <x:v>101</x:v>
      </x:c>
      <x:c r="N900" s="42" t="n">
        <x:v>60</x:v>
      </x:c>
      <x:c r="O900" s="42" t="n">
        <x:v>105</x:v>
      </x:c>
      <x:c r="P900" s="43" t="n">
        <x:f>IF(COUNT(J900:O900)=0,"",SUM(J900:O900))</x:f>
        <x:v>481</x:v>
      </x:c>
      <x:c r="Q900" s="23" t="str">
        <x:v>3 lignes de spawn</x:v>
      </x:c>
      <x:c r="R900" s="23" t="str">
        <x:v>Il immobilise ses adversaires en les submergeant de pouvoirs psychiques émanant de ses grands yeux. Malgré son apparence, il possède un tempérament féroce.</x:v>
      </x:c>
      <x:c r="S900" s="23" t="str"/>
      <x:c r="T900" s="23" t="str">
        <x:v>https://pixelmonmod.com/wiki/Espathra</x:v>
      </x:c>
    </x:row>
    <x:row r="901" ht="54" customHeight="1">
      <x:c r="A901" s="27" t="n">
        <x:v>957</x:v>
      </x:c>
      <x:c r="B901" s="23" t="str">
        <x:v>Forgerette</x:v>
      </x:c>
      <x:c r="C901" s="23" t="str">
        <x:v>Tinkatink</x:v>
      </x:c>
      <x:c r="D901" s="23" t="str">
        <x:v>Fée</x:v>
      </x:c>
      <x:c r="E901" s="23" t="str">
        <x:v>Acier</x:v>
      </x:c>
      <x:c r="F901" s="23" t="str">
        <x:v>Uncommon</x:v>
      </x:c>
      <x:c r="G901" s="45" t="n">
        <x:v>5000</x:v>
      </x:c>
      <x:c r="H901" s="45" t="n">
        <x:f>IF(G901="","",ROUNDUP(G901*3,0))</x:f>
        <x:v>15000</x:v>
      </x:c>
      <x:c r="I901" s="41" t="n">
        <x:v>1</x:v>
      </x:c>
      <x:c r="J901" s="42" t="n">
        <x:v>50</x:v>
      </x:c>
      <x:c r="K901" s="42" t="n">
        <x:v>45</x:v>
      </x:c>
      <x:c r="L901" s="42" t="n">
        <x:v>45</x:v>
      </x:c>
      <x:c r="M901" s="42" t="n">
        <x:v>35</x:v>
      </x:c>
      <x:c r="N901" s="42" t="n">
        <x:v>64</x:v>
      </x:c>
      <x:c r="O901" s="42" t="n">
        <x:v>58</x:v>
      </x:c>
      <x:c r="P901" s="43" t="n">
        <x:f>IF(COUNT(J901:O901)=0,"",SUM(J901:O901))</x:f>
        <x:v>297</x:v>
      </x:c>
      <x:c r="Q901" s="23" t="str">
        <x:v>3 lignes de spawn</x:v>
      </x:c>
      <x:c r="R901" s="23" t="str">
        <x:v>Elle brandit son marteau fait main pour se protéger, mais ce dernier est souvent volé par des Pokémon qui mangent du métal.</x:v>
      </x:c>
      <x:c r="S901" s="23" t="str"/>
      <x:c r="T901" s="23" t="str">
        <x:v>https://pixelmonmod.com/wiki/Tinkatink</x:v>
      </x:c>
    </x:row>
    <x:row r="902" ht="54" customHeight="1">
      <x:c r="A902" s="27" t="n">
        <x:v>958</x:v>
      </x:c>
      <x:c r="B902" s="23" t="str">
        <x:v>Forgerette</x:v>
      </x:c>
      <x:c r="C902" s="23" t="str">
        <x:v>Tinkatuff</x:v>
      </x:c>
      <x:c r="D902" s="23" t="str">
        <x:v>Fée</x:v>
      </x:c>
      <x:c r="E902" s="23" t="str">
        <x:v>Acier</x:v>
      </x:c>
      <x:c r="F902" s="23" t="str">
        <x:v>Rare</x:v>
      </x:c>
      <x:c r="G902" s="45" t="n">
        <x:v>12000</x:v>
      </x:c>
      <x:c r="H902" s="45" t="n">
        <x:f>IF(G902="","",ROUNDUP(G902*3,0))</x:f>
        <x:v>36000</x:v>
      </x:c>
      <x:c r="I902" s="41" t="n">
        <x:v>0.667</x:v>
      </x:c>
      <x:c r="J902" s="42" t="n">
        <x:v>65</x:v>
      </x:c>
      <x:c r="K902" s="42" t="n">
        <x:v>55</x:v>
      </x:c>
      <x:c r="L902" s="42" t="n">
        <x:v>55</x:v>
      </x:c>
      <x:c r="M902" s="42" t="n">
        <x:v>45</x:v>
      </x:c>
      <x:c r="N902" s="42" t="n">
        <x:v>82</x:v>
      </x:c>
      <x:c r="O902" s="42" t="n">
        <x:v>78</x:v>
      </x:c>
      <x:c r="P902" s="43" t="n">
        <x:f>IF(COUNT(J902:O902)=0,"",SUM(J902:O902))</x:f>
        <x:v>380</x:v>
      </x:c>
      <x:c r="Q902" s="23" t="str">
        <x:v>3 lignes de spawn</x:v>
      </x:c>
      <x:c r="R902" s="23" t="str">
        <x:v>Ce Pokémon attaque les groupes de Scalpion et Scalproie pour récupérer leur métal et fabriquer un marteau large et robuste.</x:v>
      </x:c>
      <x:c r="S902" s="23" t="str"/>
      <x:c r="T902" s="23" t="str">
        <x:v>https://pixelmonmod.com/wiki/Tinkatuff</x:v>
      </x:c>
    </x:row>
    <x:row r="903" ht="54" customHeight="1">
      <x:c r="A903" s="27" t="n">
        <x:v>959</x:v>
      </x:c>
      <x:c r="B903" s="23" t="str">
        <x:v>Forgelina</x:v>
      </x:c>
      <x:c r="C903" s="23" t="str">
        <x:v>Tinkaton</x:v>
      </x:c>
      <x:c r="D903" s="23" t="str">
        <x:v>Fée</x:v>
      </x:c>
      <x:c r="E903" s="23" t="str">
        <x:v>Acier</x:v>
      </x:c>
      <x:c r="F903" s="23" t="str">
        <x:v>Ultra Rare</x:v>
      </x:c>
      <x:c r="G903" s="45" t="n">
        <x:v>75000</x:v>
      </x:c>
      <x:c r="H903" s="45" t="n">
        <x:f>IF(G903="","",ROUNDUP(G903*3,0))</x:f>
        <x:v>225000</x:v>
      </x:c>
      <x:c r="I903" s="41" t="n">
        <x:v>0.667</x:v>
      </x:c>
      <x:c r="J903" s="42" t="n">
        <x:v>85</x:v>
      </x:c>
      <x:c r="K903" s="42" t="n">
        <x:v>75</x:v>
      </x:c>
      <x:c r="L903" s="42" t="n">
        <x:v>77</x:v>
      </x:c>
      <x:c r="M903" s="42" t="n">
        <x:v>70</x:v>
      </x:c>
      <x:c r="N903" s="42" t="n">
        <x:v>105</x:v>
      </x:c>
      <x:c r="O903" s="42" t="n">
        <x:v>94</x:v>
      </x:c>
      <x:c r="P903" s="43" t="n">
        <x:f>IF(COUNT(J903:O903)=0,"",SUM(J903:O903))</x:f>
        <x:v>506</x:v>
      </x:c>
      <x:c r="Q903" s="23" t="str">
        <x:v>3 lignes de spawn</x:v>
      </x:c>
      <x:c r="R903" s="23" t="str">
        <x:v>Ce Pokémon intelligent a un tempérament très audacieux. Il projette des rochers dans le ciel à l'aide de son marteau, visant les Corvaillus en plein vol.</x:v>
      </x:c>
      <x:c r="S903" s="23" t="str"/>
      <x:c r="T903" s="23" t="str">
        <x:v>https://pixelmonmod.com/wiki/Tinkaton</x:v>
      </x:c>
    </x:row>
    <x:row r="904" ht="54" customHeight="1">
      <x:c r="A904" s="27" t="n">
        <x:v>960</x:v>
      </x:c>
      <x:c r="B904" s="23" t="str">
        <x:v>Taupikeau</x:v>
      </x:c>
      <x:c r="C904" s="23" t="str">
        <x:v>Wiglett</x:v>
      </x:c>
      <x:c r="D904" s="23" t="str">
        <x:v>Eau</x:v>
      </x:c>
      <x:c r="E904" s="23" t="str"/>
      <x:c r="F904" s="23" t="str">
        <x:v>Uncommon</x:v>
      </x:c>
      <x:c r="G904" s="45" t="n">
        <x:v>5000</x:v>
      </x:c>
      <x:c r="H904" s="45" t="n">
        <x:f>IF(G904="","",ROUNDUP(G904*3,0))</x:f>
        <x:v>15000</x:v>
      </x:c>
      <x:c r="I904" s="41" t="n">
        <x:v>1</x:v>
      </x:c>
      <x:c r="J904" s="42" t="n">
        <x:v>10</x:v>
      </x:c>
      <x:c r="K904" s="42" t="n">
        <x:v>55</x:v>
      </x:c>
      <x:c r="L904" s="42" t="n">
        <x:v>25</x:v>
      </x:c>
      <x:c r="M904" s="42" t="n">
        <x:v>35</x:v>
      </x:c>
      <x:c r="N904" s="42" t="n">
        <x:v>25</x:v>
      </x:c>
      <x:c r="O904" s="42" t="n">
        <x:v>95</x:v>
      </x:c>
      <x:c r="P904" s="43" t="n">
        <x:f>IF(COUNT(J904:O904)=0,"",SUM(J904:O904))</x:f>
        <x:v>245</x:v>
      </x:c>
      <x:c r="Q904" s="23" t="str">
        <x:v>4 lignes de spawn</x:v>
      </x:c>
      <x:c r="R904" s="23" t="str">
        <x:v>Ce Pokémon peut détecter l'odeur d'un Délestin à plus de 20 mètres et se cache alors dans le sable.</x:v>
      </x:c>
      <x:c r="S904" s="23" t="str"/>
      <x:c r="T904" s="23" t="str">
        <x:v>https://pixelmonmod.com/wiki/Wiglett</x:v>
      </x:c>
    </x:row>
    <x:row r="905" ht="54" customHeight="1">
      <x:c r="A905" s="27" t="n">
        <x:v>961</x:v>
      </x:c>
      <x:c r="B905" s="23" t="str">
        <x:v>Triopikeau</x:v>
      </x:c>
      <x:c r="C905" s="23" t="str">
        <x:v>Wugtrio</x:v>
      </x:c>
      <x:c r="D905" s="23" t="str">
        <x:v>Eau</x:v>
      </x:c>
      <x:c r="E905" s="23" t="str"/>
      <x:c r="F905" s="23" t="str">
        <x:v>Very Rare</x:v>
      </x:c>
      <x:c r="G905" s="45" t="n">
        <x:v>30000</x:v>
      </x:c>
      <x:c r="H905" s="45" t="n">
        <x:f>IF(G905="","",ROUNDUP(G905*3,0))</x:f>
        <x:v>90000</x:v>
      </x:c>
      <x:c r="I905" s="41" t="n">
        <x:v>1</x:v>
      </x:c>
      <x:c r="J905" s="42" t="n">
        <x:v>35</x:v>
      </x:c>
      <x:c r="K905" s="42" t="n">
        <x:v>100</x:v>
      </x:c>
      <x:c r="L905" s="42" t="n">
        <x:v>50</x:v>
      </x:c>
      <x:c r="M905" s="42" t="n">
        <x:v>50</x:v>
      </x:c>
      <x:c r="N905" s="42" t="n">
        <x:v>70</x:v>
      </x:c>
      <x:c r="O905" s="42" t="n">
        <x:v>120</x:v>
      </x:c>
      <x:c r="P905" s="43" t="n">
        <x:f>IF(COUNT(J905:O905)=0,"",SUM(J905:O905))</x:f>
        <x:v>425</x:v>
      </x:c>
      <x:c r="Q905" s="23" t="str">
        <x:v>4 lignes de spawn</x:v>
      </x:c>
      <x:c r="R905" s="23" t="str">
        <x:v>Il a un tempérament féroce, contrairement à ce que son apparence pourrait laisser croire. Il enroule ses longs corps autour de ses proies avant de les entraîner dans son repaire.</x:v>
      </x:c>
      <x:c r="S905" s="23" t="str">
        <x:v>Very Rare aligné sur le palier Super Rare (provisoire).</x:v>
      </x:c>
      <x:c r="T905" s="23" t="str">
        <x:v>https://pixelmonmod.com/wiki/Wugtrio</x:v>
      </x:c>
    </x:row>
    <x:row r="906" ht="54" customHeight="1">
      <x:c r="A906" s="27" t="n">
        <x:v>962</x:v>
      </x:c>
      <x:c r="B906" s="23" t="str">
        <x:v>Bombirdier</x:v>
      </x:c>
      <x:c r="C906" s="23" t="str">
        <x:v>Bombirdier</x:v>
      </x:c>
      <x:c r="D906" s="23" t="str">
        <x:v>Vol</x:v>
      </x:c>
      <x:c r="E906" s="23" t="str">
        <x:v>Ténèbres</x:v>
      </x:c>
      <x:c r="F906" s="23" t="str">
        <x:v>Rare</x:v>
      </x:c>
      <x:c r="G906" s="45" t="n">
        <x:v>12000</x:v>
      </x:c>
      <x:c r="H906" s="45" t="n">
        <x:f>IF(G906="","",ROUNDUP(G906*3,0))</x:f>
        <x:v>36000</x:v>
      </x:c>
      <x:c r="I906" s="41" t="n">
        <x:v>0.5710000000000001</x:v>
      </x:c>
      <x:c r="J906" s="42" t="n">
        <x:v>70</x:v>
      </x:c>
      <x:c r="K906" s="42" t="n">
        <x:v>103</x:v>
      </x:c>
      <x:c r="L906" s="42" t="n">
        <x:v>85</x:v>
      </x:c>
      <x:c r="M906" s="42" t="n">
        <x:v>60</x:v>
      </x:c>
      <x:c r="N906" s="42" t="n">
        <x:v>85</x:v>
      </x:c>
      <x:c r="O906" s="42" t="n">
        <x:v>82</x:v>
      </x:c>
      <x:c r="P906" s="43" t="n">
        <x:f>IF(COUNT(J906:O906)=0,"",SUM(J906:O906))</x:f>
        <x:v>485</x:v>
      </x:c>
      <x:c r="Q906" s="23" t="str">
        <x:v>7 lignes de spawn</x:v>
      </x:c>
      <x:c r="R906" s="23" t="str">
        <x:v>Il rassemble des objets dans un tablier composé de plumes tombées, ajoutées à celles de sa poitrine, puis les laisse tomber de haut pour s'amuser.</x:v>
      </x:c>
      <x:c r="S906" s="23" t="str"/>
      <x:c r="T906" s="23" t="str">
        <x:v>https://pixelmonmod.com/wiki/Bombirdier</x:v>
      </x:c>
    </x:row>
    <x:row r="907" ht="54" customHeight="1">
      <x:c r="A907" s="27" t="n">
        <x:v>963</x:v>
      </x:c>
      <x:c r="B907" s="23" t="str">
        <x:v>Dofin</x:v>
      </x:c>
      <x:c r="C907" s="23" t="str">
        <x:v>Finizen</x:v>
      </x:c>
      <x:c r="D907" s="23" t="str">
        <x:v>Eau</x:v>
      </x:c>
      <x:c r="E907" s="23" t="str"/>
      <x:c r="F907" s="23" t="str">
        <x:v>Uncommon</x:v>
      </x:c>
      <x:c r="G907" s="45" t="n">
        <x:v>5000</x:v>
      </x:c>
      <x:c r="H907" s="45" t="n">
        <x:f>IF(G907="","",ROUNDUP(G907*3,0))</x:f>
        <x:v>15000</x:v>
      </x:c>
      <x:c r="I907" s="41" t="n">
        <x:v>1</x:v>
      </x:c>
      <x:c r="J907" s="42" t="n">
        <x:v>70</x:v>
      </x:c>
      <x:c r="K907" s="42" t="n">
        <x:v>45</x:v>
      </x:c>
      <x:c r="L907" s="42" t="n">
        <x:v>40</x:v>
      </x:c>
      <x:c r="M907" s="42" t="n">
        <x:v>45</x:v>
      </x:c>
      <x:c r="N907" s="42" t="n">
        <x:v>40</x:v>
      </x:c>
      <x:c r="O907" s="42" t="n">
        <x:v>75</x:v>
      </x:c>
      <x:c r="P907" s="43" t="n">
        <x:f>IF(COUNT(J907:O907)=0,"",SUM(J907:O907))</x:f>
        <x:v>315</x:v>
      </x:c>
      <x:c r="Q907" s="23" t="str">
        <x:v>6 lignes de spawn</x:v>
      </x:c>
      <x:c r="R907" s="23" t="str">
        <x:v>Il aime jouer avec ses semblables en utilisant l'anneau d'eau de sa queue. Il utilise des ultrasons pour ressentir les émotions des êtres vivants.</x:v>
      </x:c>
      <x:c r="S907" s="23" t="str"/>
      <x:c r="T907" s="23" t="str">
        <x:v>https://pixelmonmod.com/wiki/Finizen</x:v>
      </x:c>
    </x:row>
    <x:row r="908" ht="54" customHeight="1">
      <x:c r="A908" s="27" t="n">
        <x:v>964</x:v>
      </x:c>
      <x:c r="B908" s="23" t="str">
        <x:v>Superdofin</x:v>
      </x:c>
      <x:c r="C908" s="23" t="str">
        <x:v>Palafin</x:v>
      </x:c>
      <x:c r="D908" s="23" t="str">
        <x:v>Eau</x:v>
      </x:c>
      <x:c r="E908" s="23" t="str"/>
      <x:c r="F908" s="23" t="str">
        <x:v>Very Rare</x:v>
      </x:c>
      <x:c r="G908" s="45" t="n">
        <x:v>30000</x:v>
      </x:c>
      <x:c r="H908" s="45" t="n">
        <x:f>IF(G908="","",ROUNDUP(G908*3,0))</x:f>
        <x:v>90000</x:v>
      </x:c>
      <x:c r="I908" s="41" t="n">
        <x:v>1</x:v>
      </x:c>
      <x:c r="J908" s="42" t="n">
        <x:v>100</x:v>
      </x:c>
      <x:c r="K908" s="42" t="n">
        <x:v>70</x:v>
      </x:c>
      <x:c r="L908" s="42" t="n">
        <x:v>72</x:v>
      </x:c>
      <x:c r="M908" s="42" t="n">
        <x:v>53</x:v>
      </x:c>
      <x:c r="N908" s="42" t="n">
        <x:v>62</x:v>
      </x:c>
      <x:c r="O908" s="42" t="n">
        <x:v>100</x:v>
      </x:c>
      <x:c r="P908" s="43" t="n">
        <x:f>IF(COUNT(J908:O908)=0,"",SUM(J908:O908))</x:f>
        <x:v>457</x:v>
      </x:c>
      <x:c r="Q908" s="23" t="str">
        <x:v>6 lignes de spawn</x:v>
      </x:c>
      <x:c r="R908" s="23" t="str">
        <x:v>Ce Pokémon change d'apparence lorsqu'il entend ses alliés appeler à l'aide. Superdofin ne montre jamais à personne le moment de sa transformation.</x:v>
      </x:c>
      <x:c r="S908" s="23" t="str">
        <x:v>Very Rare aligné sur le palier Super Rare (provisoire).</x:v>
      </x:c>
      <x:c r="T908" s="23" t="str">
        <x:v>https://pixelmonmod.com/wiki/Palafin</x:v>
      </x:c>
    </x:row>
    <x:row r="909" ht="54" customHeight="1">
      <x:c r="A909" s="27" t="n">
        <x:v>965</x:v>
      </x:c>
      <x:c r="B909" s="23" t="str">
        <x:v>Vrombi</x:v>
      </x:c>
      <x:c r="C909" s="23" t="str">
        <x:v>Varoom</x:v>
      </x:c>
      <x:c r="D909" s="23" t="str">
        <x:v>Acier</x:v>
      </x:c>
      <x:c r="E909" s="23" t="str">
        <x:v>Poison</x:v>
      </x:c>
      <x:c r="F909" s="23" t="str">
        <x:v>Uncommon</x:v>
      </x:c>
      <x:c r="G909" s="45" t="n">
        <x:v>5000</x:v>
      </x:c>
      <x:c r="H909" s="45" t="n">
        <x:f>IF(G909="","",ROUNDUP(G909*3,0))</x:f>
        <x:v>15000</x:v>
      </x:c>
      <x:c r="I909" s="41" t="n">
        <x:v>1</x:v>
      </x:c>
      <x:c r="J909" s="42" t="n">
        <x:v>45</x:v>
      </x:c>
      <x:c r="K909" s="42" t="n">
        <x:v>70</x:v>
      </x:c>
      <x:c r="L909" s="42" t="n">
        <x:v>63</x:v>
      </x:c>
      <x:c r="M909" s="42" t="n">
        <x:v>30</x:v>
      </x:c>
      <x:c r="N909" s="42" t="n">
        <x:v>45</x:v>
      </x:c>
      <x:c r="O909" s="42" t="n">
        <x:v>47</x:v>
      </x:c>
      <x:c r="P909" s="43" t="n">
        <x:f>IF(COUNT(J909:O909)=0,"",SUM(J909:O909))</x:f>
        <x:v>300</x:v>
      </x:c>
      <x:c r="Q909" s="23" t="str">
        <x:v>1 lignes de spawn</x:v>
      </x:c>
      <x:c r="R909" s="23" t="str">
        <x:v>On raconte que ce Pokémon est né lorsqu'un Pokémon Poison inconnu a pénétré un moteur abandonné dans une usine de traitement de ferraille et l'a animé.</x:v>
      </x:c>
      <x:c r="S909" s="23" t="str"/>
      <x:c r="T909" s="23" t="str">
        <x:v>https://pixelmonmod.com/wiki/Varoom</x:v>
      </x:c>
    </x:row>
    <x:row r="910" ht="54" customHeight="1">
      <x:c r="A910" s="27" t="n">
        <x:v>966</x:v>
      </x:c>
      <x:c r="B910" s="23" t="str">
        <x:v>Vrombotor</x:v>
      </x:c>
      <x:c r="C910" s="23" t="str">
        <x:v>Revavroom</x:v>
      </x:c>
      <x:c r="D910" s="23" t="str">
        <x:v>Acier</x:v>
      </x:c>
      <x:c r="E910" s="23" t="str">
        <x:v>Poison</x:v>
      </x:c>
      <x:c r="F910" s="23" t="str">
        <x:v>Ultra Rare</x:v>
      </x:c>
      <x:c r="G910" s="45" t="n">
        <x:v>75000</x:v>
      </x:c>
      <x:c r="H910" s="45" t="n">
        <x:f>IF(G910="","",ROUNDUP(G910*3,0))</x:f>
        <x:v>225000</x:v>
      </x:c>
      <x:c r="I910" s="41" t="n">
        <x:v>1</x:v>
      </x:c>
      <x:c r="J910" s="42" t="n">
        <x:v>80</x:v>
      </x:c>
      <x:c r="K910" s="42" t="n">
        <x:v>119</x:v>
      </x:c>
      <x:c r="L910" s="42" t="n">
        <x:v>90</x:v>
      </x:c>
      <x:c r="M910" s="42" t="n">
        <x:v>54</x:v>
      </x:c>
      <x:c r="N910" s="42" t="n">
        <x:v>67</x:v>
      </x:c>
      <x:c r="O910" s="42" t="n">
        <x:v>90</x:v>
      </x:c>
      <x:c r="P910" s="43" t="n">
        <x:f>IF(COUNT(J910:O910)=0,"",SUM(J910:O910))</x:f>
        <x:v>500</x:v>
      </x:c>
      <x:c r="Q910" s="23" t="str">
        <x:v>1 lignes de spawn</x:v>
      </x:c>
      <x:c r="R910" s="23" t="str">
        <x:v>Il crée un gaz à partir de poison et de minéraux extraits de roches. Il le détonne ensuite dans ses cylindres—désormais au nombre de huit—pour générer de l'énergie.</x:v>
      </x:c>
      <x:c r="S910" s="23" t="str"/>
      <x:c r="T910" s="23" t="str">
        <x:v>https://pixelmonmod.com/wiki/Revavroom</x:v>
      </x:c>
    </x:row>
    <x:row r="911" ht="54" customHeight="1">
      <x:c r="A911" s="27" t="n">
        <x:v>967</x:v>
      </x:c>
      <x:c r="B911" s="23" t="str">
        <x:v>Motorizard</x:v>
      </x:c>
      <x:c r="C911" s="23" t="str">
        <x:v>Cyclizar</x:v>
      </x:c>
      <x:c r="D911" s="23" t="str">
        <x:v>Dragon</x:v>
      </x:c>
      <x:c r="E911" s="23" t="str">
        <x:v>Normal</x:v>
      </x:c>
      <x:c r="F911" s="23" t="str">
        <x:v>Ultra Rare</x:v>
      </x:c>
      <x:c r="G911" s="45" t="n">
        <x:v>75000</x:v>
      </x:c>
      <x:c r="H911" s="45" t="n">
        <x:f>IF(G911="","",ROUNDUP(G911*3,0))</x:f>
        <x:v>225000</x:v>
      </x:c>
      <x:c r="I911" s="41" t="n">
        <x:v>1</x:v>
      </x:c>
      <x:c r="J911" s="42" t="n">
        <x:v>70</x:v>
      </x:c>
      <x:c r="K911" s="42" t="n">
        <x:v>95</x:v>
      </x:c>
      <x:c r="L911" s="42" t="n">
        <x:v>65</x:v>
      </x:c>
      <x:c r="M911" s="42" t="n">
        <x:v>85</x:v>
      </x:c>
      <x:c r="N911" s="42" t="n">
        <x:v>65</x:v>
      </x:c>
      <x:c r="O911" s="42" t="n">
        <x:v>121</x:v>
      </x:c>
      <x:c r="P911" s="43" t="n">
        <x:f>IF(COUNT(J911:O911)=0,"",SUM(J911:O911))</x:f>
        <x:v>501</x:v>
      </x:c>
      <x:c r="Q911" s="23" t="str">
        <x:v>2 lignes de spawn</x:v>
      </x:c>
      <x:c r="R911" s="23" t="str">
        <x:v>Apparemment, Motorizard permet aux gens de monter sur son dos depuis l'Antiquité. On en a retrouvé des représentations sur des fresques vieilles de 10 000 ans.</x:v>
      </x:c>
      <x:c r="S911" s="23" t="str"/>
      <x:c r="T911" s="23" t="str">
        <x:v>https://pixelmonmod.com/wiki/Cyclizar</x:v>
      </x:c>
    </x:row>
    <x:row r="912" ht="54" customHeight="1">
      <x:c r="A912" s="27" t="n">
        <x:v>968</x:v>
      </x:c>
      <x:c r="B912" s="23" t="str">
        <x:v>Ferdurmac</x:v>
      </x:c>
      <x:c r="C912" s="23" t="str">
        <x:v>Orthworm</x:v>
      </x:c>
      <x:c r="D912" s="23" t="str">
        <x:v>Acier</x:v>
      </x:c>
      <x:c r="E912" s="23" t="str"/>
      <x:c r="F912" s="23" t="str">
        <x:v>Rare</x:v>
      </x:c>
      <x:c r="G912" s="45" t="n">
        <x:v>12000</x:v>
      </x:c>
      <x:c r="H912" s="45" t="n">
        <x:f>IF(G912="","",ROUNDUP(G912*3,0))</x:f>
        <x:v>36000</x:v>
      </x:c>
      <x:c r="I912" s="41" t="n">
        <x:v>1</x:v>
      </x:c>
      <x:c r="J912" s="42" t="n">
        <x:v>70</x:v>
      </x:c>
      <x:c r="K912" s="42" t="n">
        <x:v>85</x:v>
      </x:c>
      <x:c r="L912" s="42" t="n">
        <x:v>145</x:v>
      </x:c>
      <x:c r="M912" s="42" t="n">
        <x:v>60</x:v>
      </x:c>
      <x:c r="N912" s="42" t="n">
        <x:v>55</x:v>
      </x:c>
      <x:c r="O912" s="42" t="n">
        <x:v>65</x:v>
      </x:c>
      <x:c r="P912" s="43" t="n">
        <x:f>IF(COUNT(J912:O912)=0,"",SUM(J912:O912))</x:f>
        <x:v>480</x:v>
      </x:c>
      <x:c r="Q912" s="23" t="str">
        <x:v>2 lignes de spawn</x:v>
      </x:c>
      <x:c r="R912" s="23" t="str">
        <x:v>Lorsqu'il est attaqué, ce Pokémon utilise les appendices de son corps comme des poings et mitraille l'ennemi d'une pluie de coups.</x:v>
      </x:c>
      <x:c r="S912" s="23" t="str"/>
      <x:c r="T912" s="23" t="str">
        <x:v>https://pixelmonmod.com/wiki/Orthworm</x:v>
      </x:c>
    </x:row>
    <x:row r="913" ht="54" customHeight="1">
      <x:c r="A913" s="27" t="n">
        <x:v>969</x:v>
      </x:c>
      <x:c r="B913" s="23" t="str">
        <x:v>Virovent</x:v>
      </x:c>
      <x:c r="C913" s="23" t="str">
        <x:v>Glimmet</x:v>
      </x:c>
      <x:c r="D913" s="23" t="str">
        <x:v>Roche</x:v>
      </x:c>
      <x:c r="E913" s="23" t="str">
        <x:v>Poison</x:v>
      </x:c>
      <x:c r="F913" s="23" t="str">
        <x:v>Uncommon</x:v>
      </x:c>
      <x:c r="G913" s="45" t="n">
        <x:v>5000</x:v>
      </x:c>
      <x:c r="H913" s="45" t="n">
        <x:f>IF(G913="","",ROUNDUP(G913*3,0))</x:f>
        <x:v>15000</x:v>
      </x:c>
      <x:c r="I913" s="41" t="n">
        <x:v>1</x:v>
      </x:c>
      <x:c r="J913" s="42" t="n">
        <x:v>48</x:v>
      </x:c>
      <x:c r="K913" s="42" t="n">
        <x:v>35</x:v>
      </x:c>
      <x:c r="L913" s="42" t="n">
        <x:v>42</x:v>
      </x:c>
      <x:c r="M913" s="42" t="n">
        <x:v>105</x:v>
      </x:c>
      <x:c r="N913" s="42" t="n">
        <x:v>60</x:v>
      </x:c>
      <x:c r="O913" s="42" t="n">
        <x:v>60</x:v>
      </x:c>
      <x:c r="P913" s="43" t="n">
        <x:f>IF(COUNT(J913:O913)=0,"",SUM(J913:O913))</x:f>
        <x:v>350</x:v>
      </x:c>
      <x:c r="Q913" s="23" t="str">
        <x:v>2 lignes de spawn</x:v>
      </x:c>
      <x:c r="R913" s="23" t="str">
        <x:v>Il absorbe les nutriments des parois des grottes. Les pétales qu'il porte sont faits de poison cristallisé.</x:v>
      </x:c>
      <x:c r="S913" s="23" t="str"/>
      <x:c r="T913" s="23" t="str">
        <x:v>https://pixelmonmod.com/wiki/Glimmet</x:v>
      </x:c>
    </x:row>
    <x:row r="914" ht="54" customHeight="1">
      <x:c r="A914" s="27" t="n">
        <x:v>970</x:v>
      </x:c>
      <x:c r="B914" s="23" t="str">
        <x:v>Floréclat</x:v>
      </x:c>
      <x:c r="C914" s="23" t="str">
        <x:v>Glimmora</x:v>
      </x:c>
      <x:c r="D914" s="23" t="str">
        <x:v>Roche</x:v>
      </x:c>
      <x:c r="E914" s="23" t="str">
        <x:v>Poison</x:v>
      </x:c>
      <x:c r="F914" s="23" t="str">
        <x:v>Rare / Very Rare</x:v>
      </x:c>
      <x:c r="G914" s="45" t="n">
        <x:v>30000</x:v>
      </x:c>
      <x:c r="H914" s="45" t="n">
        <x:f>IF(G914="","",ROUNDUP(G914*3,0))</x:f>
        <x:v>90000</x:v>
      </x:c>
      <x:c r="I914" s="41" t="n">
        <x:v>0.5</x:v>
      </x:c>
      <x:c r="J914" s="42" t="n">
        <x:v>83</x:v>
      </x:c>
      <x:c r="K914" s="42" t="n">
        <x:v>55</x:v>
      </x:c>
      <x:c r="L914" s="42" t="n">
        <x:v>90</x:v>
      </x:c>
      <x:c r="M914" s="42" t="n">
        <x:v>130</x:v>
      </x:c>
      <x:c r="N914" s="42" t="n">
        <x:v>81</x:v>
      </x:c>
      <x:c r="O914" s="42" t="n">
        <x:v>86</x:v>
      </x:c>
      <x:c r="P914" s="43" t="n">
        <x:f>IF(COUNT(J914:O914)=0,"",SUM(J914:O914))</x:f>
        <x:v>525</x:v>
      </x:c>
      <x:c r="Q914" s="23" t="str">
        <x:v>2 lignes de spawn</x:v>
      </x:c>
      <x:c r="R914" s="23" t="str">
        <x:v>Quand ce Pokémon détecte un danger, il ouvre ses pétales cristallins et tire des rayons depuis son corps conique.</x:v>
      </x:c>
      <x:c r="S914" s="23" t="str">
        <x:v>Égalité de fréquence; prix provisoire basé sur le palier le plus élevé. Very Rare aligné sur le palier Super Rare (provisoire).</x:v>
      </x:c>
      <x:c r="T914" s="23" t="str">
        <x:v>https://pixelmonmod.com/wiki/Glimmora</x:v>
      </x:c>
    </x:row>
    <x:row r="915" ht="54" customHeight="1">
      <x:c r="A915" s="27" t="n">
        <x:v>971</x:v>
      </x:c>
      <x:c r="B915" s="23" t="str">
        <x:v>Toutombe</x:v>
      </x:c>
      <x:c r="C915" s="23" t="str">
        <x:v>Greavard</x:v>
      </x:c>
      <x:c r="D915" s="23" t="str">
        <x:v>Spectre</x:v>
      </x:c>
      <x:c r="E915" s="23" t="str"/>
      <x:c r="F915" s="23" t="str">
        <x:v>Uncommon</x:v>
      </x:c>
      <x:c r="G915" s="45" t="n">
        <x:v>5000</x:v>
      </x:c>
      <x:c r="H915" s="45" t="n">
        <x:f>IF(G915="","",ROUNDUP(G915*3,0))</x:f>
        <x:v>15000</x:v>
      </x:c>
      <x:c r="I915" s="41" t="n">
        <x:v>1</x:v>
      </x:c>
      <x:c r="J915" s="42" t="n">
        <x:v>50</x:v>
      </x:c>
      <x:c r="K915" s="42" t="n">
        <x:v>61</x:v>
      </x:c>
      <x:c r="L915" s="42" t="n">
        <x:v>60</x:v>
      </x:c>
      <x:c r="M915" s="42" t="n">
        <x:v>30</x:v>
      </x:c>
      <x:c r="N915" s="42" t="n">
        <x:v>55</x:v>
      </x:c>
      <x:c r="O915" s="42" t="n">
        <x:v>34</x:v>
      </x:c>
      <x:c r="P915" s="43" t="n">
        <x:f>IF(COUNT(J915:O915)=0,"",SUM(J915:O915))</x:f>
        <x:v>290</x:v>
      </x:c>
      <x:c r="Q915" s="23" t="str">
        <x:v>3 lignes de spawn</x:v>
      </x:c>
      <x:c r="R915" s="23" t="str">
        <x:v>On raconte qu'un chien Pokémon mort dans la nature sans jamais avoir rencontré d'humain renaît sous la forme de ce Pokémon.</x:v>
      </x:c>
      <x:c r="S915" s="23" t="str"/>
      <x:c r="T915" s="23" t="str">
        <x:v>https://pixelmonmod.com/wiki/Greavard</x:v>
      </x:c>
    </x:row>
    <x:row r="916" ht="54" customHeight="1">
      <x:c r="A916" s="27" t="n">
        <x:v>972</x:v>
      </x:c>
      <x:c r="B916" s="23" t="str">
        <x:v>Tomberro</x:v>
      </x:c>
      <x:c r="C916" s="23" t="str">
        <x:v>Houndstone</x:v>
      </x:c>
      <x:c r="D916" s="23" t="str">
        <x:v>Spectre</x:v>
      </x:c>
      <x:c r="E916" s="23" t="str"/>
      <x:c r="F916" s="23" t="str">
        <x:v>Uncommon / Very Rare / Ultra Rare</x:v>
      </x:c>
      <x:c r="G916" s="45" t="n">
        <x:v>75000</x:v>
      </x:c>
      <x:c r="H916" s="45" t="n">
        <x:f>IF(G916="","",ROUNDUP(G916*3,0))</x:f>
        <x:v>225000</x:v>
      </x:c>
      <x:c r="I916" s="41" t="n">
        <x:v>0.33299999999999996</x:v>
      </x:c>
      <x:c r="J916" s="42" t="n">
        <x:v>72</x:v>
      </x:c>
      <x:c r="K916" s="42" t="n">
        <x:v>101</x:v>
      </x:c>
      <x:c r="L916" s="42" t="n">
        <x:v>100</x:v>
      </x:c>
      <x:c r="M916" s="42" t="n">
        <x:v>50</x:v>
      </x:c>
      <x:c r="N916" s="42" t="n">
        <x:v>97</x:v>
      </x:c>
      <x:c r="O916" s="42" t="n">
        <x:v>68</x:v>
      </x:c>
      <x:c r="P916" s="43" t="n">
        <x:f>IF(COUNT(J916:O916)=0,"",SUM(J916:O916))</x:f>
        <x:v>488</x:v>
      </x:c>
      <x:c r="Q916" s="23" t="str">
        <x:v>3 lignes de spawn</x:v>
      </x:c>
      <x:c r="R916" s="23" t="str">
        <x:v>Tomberro passe la majeure partie de son temps à dormir dans les cimetières. Parmi tous les Pokémon chiens, c'est le plus loyal envers son maître.</x:v>
      </x:c>
      <x:c r="S916" s="23" t="str">
        <x:v>Égalité de fréquence; prix provisoire basé sur le palier le plus élevé. Very Rare aligné sur le palier Super Rare (provisoire).</x:v>
      </x:c>
      <x:c r="T916" s="23" t="str">
        <x:v>https://pixelmonmod.com/wiki/Houndstone</x:v>
      </x:c>
    </x:row>
    <x:row r="917" ht="54" customHeight="1">
      <x:c r="A917" s="27" t="n">
        <x:v>973</x:v>
      </x:c>
      <x:c r="B917" s="23" t="str">
        <x:v>Flamigo</x:v>
      </x:c>
      <x:c r="C917" s="23" t="str">
        <x:v>Flamigo</x:v>
      </x:c>
      <x:c r="D917" s="23" t="str">
        <x:v>Vol</x:v>
      </x:c>
      <x:c r="E917" s="23" t="str">
        <x:v>Combat</x:v>
      </x:c>
      <x:c r="F917" s="23" t="str">
        <x:v>Uncommon / Very Rare</x:v>
      </x:c>
      <x:c r="G917" s="45" t="n">
        <x:v>30000</x:v>
      </x:c>
      <x:c r="H917" s="45" t="n">
        <x:f>IF(G917="","",ROUNDUP(G917*3,0))</x:f>
        <x:v>90000</x:v>
      </x:c>
      <x:c r="I917" s="41" t="n">
        <x:v>0.5</x:v>
      </x:c>
      <x:c r="J917" s="42" t="n">
        <x:v>82</x:v>
      </x:c>
      <x:c r="K917" s="42" t="n">
        <x:v>115</x:v>
      </x:c>
      <x:c r="L917" s="42" t="n">
        <x:v>74</x:v>
      </x:c>
      <x:c r="M917" s="42" t="n">
        <x:v>75</x:v>
      </x:c>
      <x:c r="N917" s="42" t="n">
        <x:v>64</x:v>
      </x:c>
      <x:c r="O917" s="42" t="n">
        <x:v>90</x:v>
      </x:c>
      <x:c r="P917" s="43" t="n">
        <x:f>IF(COUNT(J917:O917)=0,"",SUM(J917:O917))</x:f>
        <x:v>500</x:v>
      </x:c>
      <x:c r="Q917" s="23" t="str">
        <x:v>2 lignes de spawn</x:v>
      </x:c>
      <x:c r="R917" s="23" t="str">
        <x:v>Ce Pokémon noue apparemment la base de son cou pour empêcher l'énergie stockée dans son ventre de s'échapper par son bec.</x:v>
      </x:c>
      <x:c r="S917" s="23" t="str">
        <x:v>Égalité de fréquence; prix provisoire basé sur le palier le plus élevé. Very Rare aligné sur le palier Super Rare (provisoire).</x:v>
      </x:c>
      <x:c r="T917" s="23" t="str">
        <x:v>https://pixelmonmod.com/wiki/Flamigo</x:v>
      </x:c>
    </x:row>
    <x:row r="918" ht="54" customHeight="1">
      <x:c r="A918" s="27" t="n">
        <x:v>974</x:v>
      </x:c>
      <x:c r="B918" s="23" t="str">
        <x:v>Piétacé</x:v>
      </x:c>
      <x:c r="C918" s="23" t="str">
        <x:v>Cetoddle</x:v>
      </x:c>
      <x:c r="D918" s="23" t="str">
        <x:v>Glace</x:v>
      </x:c>
      <x:c r="E918" s="23" t="str"/>
      <x:c r="F918" s="23" t="str">
        <x:v>Uncommon</x:v>
      </x:c>
      <x:c r="G918" s="45" t="n">
        <x:v>5000</x:v>
      </x:c>
      <x:c r="H918" s="45" t="n">
        <x:f>IF(G918="","",ROUNDUP(G918*3,0))</x:f>
        <x:v>15000</x:v>
      </x:c>
      <x:c r="I918" s="41" t="n">
        <x:v>1</x:v>
      </x:c>
      <x:c r="J918" s="42" t="n">
        <x:v>108</x:v>
      </x:c>
      <x:c r="K918" s="42" t="n">
        <x:v>68</x:v>
      </x:c>
      <x:c r="L918" s="42" t="n">
        <x:v>45</x:v>
      </x:c>
      <x:c r="M918" s="42" t="n">
        <x:v>30</x:v>
      </x:c>
      <x:c r="N918" s="42" t="n">
        <x:v>40</x:v>
      </x:c>
      <x:c r="O918" s="42" t="n">
        <x:v>43</x:v>
      </x:c>
      <x:c r="P918" s="43" t="n">
        <x:f>IF(COUNT(J918:O918)=0,"",SUM(J918:O918))</x:f>
        <x:v>334</x:v>
      </x:c>
      <x:c r="Q918" s="23" t="str">
        <x:v>3 lignes de spawn</x:v>
      </x:c>
      <x:c r="R918" s="23" t="str">
        <x:v>Cette espèce a quitté l'océan il y a très longtemps pour vivre sur la terre ferme. Elle semble étroitement liée à Wailmer.</x:v>
      </x:c>
      <x:c r="S918" s="23" t="str"/>
      <x:c r="T918" s="23" t="str">
        <x:v>https://pixelmonmod.com/wiki/Cetoddle</x:v>
      </x:c>
    </x:row>
    <x:row r="919" ht="54" customHeight="1">
      <x:c r="A919" s="27" t="n">
        <x:v>975</x:v>
      </x:c>
      <x:c r="B919" s="23" t="str">
        <x:v>Balbalèze</x:v>
      </x:c>
      <x:c r="C919" s="23" t="str">
        <x:v>Cetitan</x:v>
      </x:c>
      <x:c r="D919" s="23" t="str">
        <x:v>Glace</x:v>
      </x:c>
      <x:c r="E919" s="23" t="str"/>
      <x:c r="F919" s="23" t="str">
        <x:v>Ultra Rare</x:v>
      </x:c>
      <x:c r="G919" s="45" t="n">
        <x:v>75000</x:v>
      </x:c>
      <x:c r="H919" s="45" t="n">
        <x:f>IF(G919="","",ROUNDUP(G919*3,0))</x:f>
        <x:v>225000</x:v>
      </x:c>
      <x:c r="I919" s="41" t="n">
        <x:v>1</x:v>
      </x:c>
      <x:c r="J919" s="42" t="n">
        <x:v>170</x:v>
      </x:c>
      <x:c r="K919" s="42" t="n">
        <x:v>113</x:v>
      </x:c>
      <x:c r="L919" s="42" t="n">
        <x:v>65</x:v>
      </x:c>
      <x:c r="M919" s="42" t="n">
        <x:v>45</x:v>
      </x:c>
      <x:c r="N919" s="42" t="n">
        <x:v>55</x:v>
      </x:c>
      <x:c r="O919" s="42" t="n">
        <x:v>73</x:v>
      </x:c>
      <x:c r="P919" s="43" t="n">
        <x:f>IF(COUNT(J919:O919)=0,"",SUM(J919:O919))</x:f>
        <x:v>521</x:v>
      </x:c>
      <x:c r="Q919" s="23" t="str">
        <x:v>3 lignes de spawn</x:v>
      </x:c>
      <x:c r="R919" s="23" t="str">
        <x:v>Ce Pokémon erre dans les zones glacées et enneigées. Il protège son corps grâce à de puissants muscles et une épaisse couche de graisse sous sa peau.</x:v>
      </x:c>
      <x:c r="S919" s="23" t="str"/>
      <x:c r="T919" s="23" t="str">
        <x:v>https://pixelmonmod.com/wiki/Cetitan</x:v>
      </x:c>
    </x:row>
    <x:row r="920" ht="54" customHeight="1">
      <x:c r="A920" s="27" t="n">
        <x:v>976</x:v>
      </x:c>
      <x:c r="B920" s="23" t="str">
        <x:v>Furaiglon</x:v>
      </x:c>
      <x:c r="C920" s="23" t="str">
        <x:v>Veluza</x:v>
      </x:c>
      <x:c r="D920" s="23" t="str">
        <x:v>Eau</x:v>
      </x:c>
      <x:c r="E920" s="23" t="str">
        <x:v>Psy</x:v>
      </x:c>
      <x:c r="F920" s="23" t="str">
        <x:v>Uncommon / Rare / Very Rare</x:v>
      </x:c>
      <x:c r="G920" s="45" t="n">
        <x:v>30000</x:v>
      </x:c>
      <x:c r="H920" s="45" t="n">
        <x:f>IF(G920="","",ROUNDUP(G920*3,0))</x:f>
        <x:v>90000</x:v>
      </x:c>
      <x:c r="I920" s="41" t="n">
        <x:v>0.33299999999999996</x:v>
      </x:c>
      <x:c r="J920" s="42" t="n">
        <x:v>90</x:v>
      </x:c>
      <x:c r="K920" s="42" t="n">
        <x:v>102</x:v>
      </x:c>
      <x:c r="L920" s="42" t="n">
        <x:v>73</x:v>
      </x:c>
      <x:c r="M920" s="42" t="n">
        <x:v>78</x:v>
      </x:c>
      <x:c r="N920" s="42" t="n">
        <x:v>65</x:v>
      </x:c>
      <x:c r="O920" s="42" t="n">
        <x:v>70</x:v>
      </x:c>
      <x:c r="P920" s="43" t="n">
        <x:f>IF(COUNT(J920:O920)=0,"",SUM(J920:O920))</x:f>
        <x:v>478</x:v>
      </x:c>
      <x:c r="Q920" s="23" t="str">
        <x:v>18 lignes de spawn</x:v>
      </x:c>
      <x:c r="R920" s="23" t="str">
        <x:v>Lorsqu'il se débarrasse de sa chair superflue, Veluza affine son esprit et accroît sa puissance psychique. Sa chair détachée possède une saveur douce mais délicieuse.</x:v>
      </x:c>
      <x:c r="S920" s="23" t="str">
        <x:v>Égalité de fréquence; prix provisoire basé sur le palier le plus élevé. Very Rare aligné sur le palier Super Rare (provisoire).</x:v>
      </x:c>
      <x:c r="T920" s="23" t="str">
        <x:v>https://pixelmonmod.com/wiki/Veluza</x:v>
      </x:c>
    </x:row>
    <x:row r="921" ht="54" customHeight="1">
      <x:c r="A921" s="27" t="n">
        <x:v>977</x:v>
      </x:c>
      <x:c r="B921" s="23" t="str">
        <x:v>Dondodo</x:v>
      </x:c>
      <x:c r="C921" s="23" t="str">
        <x:v>Dondozo</x:v>
      </x:c>
      <x:c r="D921" s="23" t="str">
        <x:v>Eau</x:v>
      </x:c>
      <x:c r="E921" s="23" t="str"/>
      <x:c r="F921" s="23" t="str">
        <x:v>Uncommon / Rare / Very Rare</x:v>
      </x:c>
      <x:c r="G921" s="45" t="n">
        <x:v>30000</x:v>
      </x:c>
      <x:c r="H921" s="45" t="n">
        <x:f>IF(G921="","",ROUNDUP(G921*3,0))</x:f>
        <x:v>90000</x:v>
      </x:c>
      <x:c r="I921" s="41" t="n">
        <x:v>0.33299999999999996</x:v>
      </x:c>
      <x:c r="J921" s="42" t="n">
        <x:v>150</x:v>
      </x:c>
      <x:c r="K921" s="42" t="n">
        <x:v>100</x:v>
      </x:c>
      <x:c r="L921" s="42" t="n">
        <x:v>115</x:v>
      </x:c>
      <x:c r="M921" s="42" t="n">
        <x:v>65</x:v>
      </x:c>
      <x:c r="N921" s="42" t="n">
        <x:v>65</x:v>
      </x:c>
      <x:c r="O921" s="42" t="n">
        <x:v>35</x:v>
      </x:c>
      <x:c r="P921" s="43" t="n">
        <x:f>IF(COUNT(J921:O921)=0,"",SUM(J921:O921))</x:f>
        <x:v>530</x:v>
      </x:c>
      <x:c r="Q921" s="23" t="str">
        <x:v>9 lignes de spawn</x:v>
      </x:c>
      <x:c r="R921" s="23" t="str">
        <x:v>Ce Pokémon est un glouton, mais piètre chasseur. Il fait équipe avec un Nigirigon pour attraper ses proies.</x:v>
      </x:c>
      <x:c r="S921" s="23" t="str">
        <x:v>Égalité de fréquence; prix provisoire basé sur le palier le plus élevé. Very Rare aligné sur le palier Super Rare (provisoire).</x:v>
      </x:c>
      <x:c r="T921" s="23" t="str">
        <x:v>https://pixelmonmod.com/wiki/Dondozo</x:v>
      </x:c>
    </x:row>
    <x:row r="922" ht="54" customHeight="1">
      <x:c r="A922" s="27" t="n">
        <x:v>978</x:v>
      </x:c>
      <x:c r="B922" s="23" t="str">
        <x:v>Nigirigon</x:v>
      </x:c>
      <x:c r="C922" s="23" t="str">
        <x:v>Tatsugiri</x:v>
      </x:c>
      <x:c r="D922" s="23" t="str">
        <x:v>Dragon</x:v>
      </x:c>
      <x:c r="E922" s="23" t="str">
        <x:v>Eau</x:v>
      </x:c>
      <x:c r="F922" s="23" t="str">
        <x:v>Very Rare</x:v>
      </x:c>
      <x:c r="G922" s="45" t="n">
        <x:v>30000</x:v>
      </x:c>
      <x:c r="H922" s="45" t="n">
        <x:f>IF(G922="","",ROUNDUP(G922*3,0))</x:f>
        <x:v>90000</x:v>
      </x:c>
      <x:c r="I922" s="41" t="n">
        <x:v>1</x:v>
      </x:c>
      <x:c r="J922" s="42" t="n">
        <x:v>68</x:v>
      </x:c>
      <x:c r="K922" s="42" t="n">
        <x:v>50</x:v>
      </x:c>
      <x:c r="L922" s="42" t="n">
        <x:v>60</x:v>
      </x:c>
      <x:c r="M922" s="42" t="n">
        <x:v>120</x:v>
      </x:c>
      <x:c r="N922" s="42" t="n">
        <x:v>95</x:v>
      </x:c>
      <x:c r="O922" s="42" t="n">
        <x:v>82</x:v>
      </x:c>
      <x:c r="P922" s="43" t="n">
        <x:f>IF(COUNT(J922:O922)=0,"",SUM(J922:O922))</x:f>
        <x:v>475</x:v>
      </x:c>
      <x:c r="Q922" s="23" t="str">
        <x:v>4 lignes de spawn</x:v>
      </x:c>
      <x:c r="R922" s="23" t="str">
        <x:v>Ce petit Pokémon Dragon vit dans la bouche de Oyacata pour se protéger des ennemis de l'extérieur.</x:v>
      </x:c>
      <x:c r="S922" s="23" t="str">
        <x:v>Very Rare aligné sur le palier Super Rare (provisoire).</x:v>
      </x:c>
      <x:c r="T922" s="23" t="str">
        <x:v>https://pixelmonmod.com/wiki/Tatsugiri</x:v>
      </x:c>
    </x:row>
    <x:row r="923" ht="54" customHeight="1">
      <x:c r="A923" s="27" t="n">
        <x:v>979</x:v>
      </x:c>
      <x:c r="B923" s="23" t="str">
        <x:v>Couroupard</x:v>
      </x:c>
      <x:c r="C923" s="23" t="str">
        <x:v>Annihilape</x:v>
      </x:c>
      <x:c r="D923" s="23" t="str">
        <x:v>Combat</x:v>
      </x:c>
      <x:c r="E923" s="23" t="str">
        <x:v>Spectre</x:v>
      </x:c>
      <x:c r="F923" s="23" t="str">
        <x:v>Ultra Rare</x:v>
      </x:c>
      <x:c r="G923" s="45" t="n">
        <x:v>75000</x:v>
      </x:c>
      <x:c r="H923" s="45" t="n">
        <x:f>IF(G923="","",ROUNDUP(G923*3,0))</x:f>
        <x:v>225000</x:v>
      </x:c>
      <x:c r="I923" s="41" t="n">
        <x:v>1</x:v>
      </x:c>
      <x:c r="J923" s="42" t="n">
        <x:v>110</x:v>
      </x:c>
      <x:c r="K923" s="42" t="n">
        <x:v>115</x:v>
      </x:c>
      <x:c r="L923" s="42" t="n">
        <x:v>80</x:v>
      </x:c>
      <x:c r="M923" s="42" t="n">
        <x:v>50</x:v>
      </x:c>
      <x:c r="N923" s="42" t="n">
        <x:v>90</x:v>
      </x:c>
      <x:c r="O923" s="42" t="n">
        <x:v>90</x:v>
      </x:c>
      <x:c r="P923" s="43" t="n">
        <x:f>IF(COUNT(J923:O923)=0,"",SUM(J923:O923))</x:f>
        <x:v>535</x:v>
      </x:c>
      <x:c r="Q923" s="23" t="str">
        <x:v>3 lignes de spawn</x:v>
      </x:c>
      <x:c r="R923" s="23" t="str">
        <x:v>Quand sa colère a dépassé un seuil critique, ce Pokémon a acquis une puissance libérée de toute limite physique.</x:v>
      </x:c>
      <x:c r="S923" s="23" t="str"/>
      <x:c r="T923" s="23" t="str">
        <x:v>https://pixelmonmod.com/wiki/Annihilape</x:v>
      </x:c>
    </x:row>
    <x:row r="924" ht="54" customHeight="1">
      <x:c r="A924" s="27" t="n">
        <x:v>980</x:v>
      </x:c>
      <x:c r="B924" s="23" t="str">
        <x:v>Terraiste</x:v>
      </x:c>
      <x:c r="C924" s="23" t="str">
        <x:v>Clodsire</x:v>
      </x:c>
      <x:c r="D924" s="23" t="str">
        <x:v>Poison</x:v>
      </x:c>
      <x:c r="E924" s="23" t="str">
        <x:v>Sol</x:v>
      </x:c>
      <x:c r="F924" s="23" t="str">
        <x:v>Very Rare / Ultra Rare</x:v>
      </x:c>
      <x:c r="G924" s="45" t="n">
        <x:v>75000</x:v>
      </x:c>
      <x:c r="H924" s="45" t="n">
        <x:f>IF(G924="","",ROUNDUP(G924*3,0))</x:f>
        <x:v>225000</x:v>
      </x:c>
      <x:c r="I924" s="41" t="n">
        <x:v>0.4</x:v>
      </x:c>
      <x:c r="J924" s="42" t="n">
        <x:v>130</x:v>
      </x:c>
      <x:c r="K924" s="42" t="n">
        <x:v>75</x:v>
      </x:c>
      <x:c r="L924" s="42" t="n">
        <x:v>60</x:v>
      </x:c>
      <x:c r="M924" s="42" t="n">
        <x:v>45</x:v>
      </x:c>
      <x:c r="N924" s="42" t="n">
        <x:v>100</x:v>
      </x:c>
      <x:c r="O924" s="42" t="n">
        <x:v>20</x:v>
      </x:c>
      <x:c r="P924" s="43" t="n">
        <x:f>IF(COUNT(J924:O924)=0,"",SUM(J924:O924))</x:f>
        <x:v>430</x:v>
      </x:c>
      <x:c r="Q924" s="23" t="str">
        <x:v>5 lignes de spawn</x:v>
      </x:c>
      <x:c r="R924" s="23" t="str">
        <x:v>Lorsqu'il est attaqué, ce Pokémon riposte en faisant jaillir d'épaisses épines de son corps. Une stratégie risquée qui joue le tout pour le tout.</x:v>
      </x:c>
      <x:c r="S924" s="23" t="str">
        <x:v>Égalité de fréquence; prix provisoire basé sur le palier le plus élevé. Very Rare aligné sur le palier Super Rare (provisoire).</x:v>
      </x:c>
      <x:c r="T924" s="23" t="str">
        <x:v>https://pixelmonmod.com/wiki/Clodsire</x:v>
      </x:c>
    </x:row>
    <x:row r="925" ht="54" customHeight="1">
      <x:c r="A925" s="27" t="n">
        <x:v>981</x:v>
      </x:c>
      <x:c r="B925" s="23" t="str">
        <x:v>Farigiraf</x:v>
      </x:c>
      <x:c r="C925" s="23" t="str">
        <x:v>Farigiraf</x:v>
      </x:c>
      <x:c r="D925" s="23" t="str">
        <x:v>Normal</x:v>
      </x:c>
      <x:c r="E925" s="23" t="str">
        <x:v>Psy</x:v>
      </x:c>
      <x:c r="F925" s="23" t="str">
        <x:v>Ultra Rare</x:v>
      </x:c>
      <x:c r="G925" s="45" t="n">
        <x:v>75000</x:v>
      </x:c>
      <x:c r="H925" s="45" t="n">
        <x:f>IF(G925="","",ROUNDUP(G925*3,0))</x:f>
        <x:v>225000</x:v>
      </x:c>
      <x:c r="I925" s="41" t="n">
        <x:v>1</x:v>
      </x:c>
      <x:c r="J925" s="42" t="n">
        <x:v>120</x:v>
      </x:c>
      <x:c r="K925" s="42" t="n">
        <x:v>90</x:v>
      </x:c>
      <x:c r="L925" s="42" t="n">
        <x:v>70</x:v>
      </x:c>
      <x:c r="M925" s="42" t="n">
        <x:v>110</x:v>
      </x:c>
      <x:c r="N925" s="42" t="n">
        <x:v>70</x:v>
      </x:c>
      <x:c r="O925" s="42" t="n">
        <x:v>60</x:v>
      </x:c>
      <x:c r="P925" s="43" t="n">
        <x:f>IF(COUNT(J925:O925)=0,"",SUM(J925:O925))</x:f>
        <x:v>520</x:v>
      </x:c>
      <x:c r="Q925" s="23" t="str">
        <x:v>1 lignes de spawn</x:v>
      </x:c>
      <x:c r="R925" s="23" t="str">
        <x:v>Maintenant que les ondes cérébrales de sa tête et de sa queue sont synchronisées, la puissance psy de ce Pokémon est dix fois supérieure à celle de Girafarig.</x:v>
      </x:c>
      <x:c r="S925" s="23" t="str"/>
      <x:c r="T925" s="23" t="str">
        <x:v>https://pixelmonmod.com/wiki/Farigiraf</x:v>
      </x:c>
    </x:row>
    <x:row r="926" ht="54" customHeight="1">
      <x:c r="A926" s="27" t="n">
        <x:v>982</x:v>
      </x:c>
      <x:c r="B926" s="23" t="str">
        <x:v>Serpenteuil</x:v>
      </x:c>
      <x:c r="C926" s="23" t="str">
        <x:v>Dudunsparce</x:v>
      </x:c>
      <x:c r="D926" s="23" t="str">
        <x:v>Normal</x:v>
      </x:c>
      <x:c r="E926" s="23" t="str"/>
      <x:c r="F926" s="23" t="str">
        <x:v>Ultra Rare</x:v>
      </x:c>
      <x:c r="G926" s="45" t="n">
        <x:v>75000</x:v>
      </x:c>
      <x:c r="H926" s="45" t="n">
        <x:f>IF(G926="","",ROUNDUP(G926*3,0))</x:f>
        <x:v>225000</x:v>
      </x:c>
      <x:c r="I926" s="41" t="n">
        <x:v>1</x:v>
      </x:c>
      <x:c r="J926" s="42" t="n">
        <x:v>125</x:v>
      </x:c>
      <x:c r="K926" s="42" t="n">
        <x:v>100</x:v>
      </x:c>
      <x:c r="L926" s="42" t="n">
        <x:v>80</x:v>
      </x:c>
      <x:c r="M926" s="42" t="n">
        <x:v>85</x:v>
      </x:c>
      <x:c r="N926" s="42" t="n">
        <x:v>75</x:v>
      </x:c>
      <x:c r="O926" s="42" t="n">
        <x:v>55</x:v>
      </x:c>
      <x:c r="P926" s="43" t="n">
        <x:f>IF(COUNT(J926:O926)=0,"",SUM(J926:O926))</x:f>
        <x:v>520</x:v>
      </x:c>
      <x:c r="Q926" s="23" t="str">
        <x:v>3 lignes de spawn</x:v>
      </x:c>
      <x:c r="R926" s="23" t="str">
        <x:v>Ce Pokémon utilise sa queue dure pour creuser des nids dans la roche profonde. Ces nids peuvent dépasser dix kilomètres de longueur.</x:v>
      </x:c>
      <x:c r="S926" s="23" t="str"/>
      <x:c r="T926" s="23" t="str">
        <x:v>https://pixelmonmod.com/wiki/Dudunsparce</x:v>
      </x:c>
    </x:row>
    <x:row r="927" ht="54" customHeight="1">
      <x:c r="A927" s="27" t="n">
        <x:v>983</x:v>
      </x:c>
      <x:c r="B927" s="23" t="str">
        <x:v>Scalpereur</x:v>
      </x:c>
      <x:c r="C927" s="23" t="str">
        <x:v>Kingambit</x:v>
      </x:c>
      <x:c r="D927" s="23" t="str">
        <x:v>Ténèbres</x:v>
      </x:c>
      <x:c r="E927" s="23" t="str">
        <x:v>Acier</x:v>
      </x:c>
      <x:c r="F927" s="23" t="str">
        <x:v>Ultra Rare</x:v>
      </x:c>
      <x:c r="G927" s="45" t="n">
        <x:v>75000</x:v>
      </x:c>
      <x:c r="H927" s="45" t="n">
        <x:f>IF(G927="","",ROUNDUP(G927*3,0))</x:f>
        <x:v>225000</x:v>
      </x:c>
      <x:c r="I927" s="41" t="n">
        <x:v>1</x:v>
      </x:c>
      <x:c r="J927" s="42" t="n">
        <x:v>100</x:v>
      </x:c>
      <x:c r="K927" s="42" t="n">
        <x:v>135</x:v>
      </x:c>
      <x:c r="L927" s="42" t="n">
        <x:v>120</x:v>
      </x:c>
      <x:c r="M927" s="42" t="n">
        <x:v>60</x:v>
      </x:c>
      <x:c r="N927" s="42" t="n">
        <x:v>85</x:v>
      </x:c>
      <x:c r="O927" s="42" t="n">
        <x:v>50</x:v>
      </x:c>
      <x:c r="P927" s="43" t="n">
        <x:f>IF(COUNT(J927:O927)=0,"",SUM(J927:O927))</x:f>
        <x:v>550</x:v>
      </x:c>
      <x:c r="Q927" s="23" t="str">
        <x:v>4 lignes de spawn</x:v>
      </x:c>
      <x:c r="R927" s="23" t="str">
        <x:v>Seul un Scalproie qui s'est hissé au plus haut rang d'une grande armée peut évoluer en Scalpereur.</x:v>
      </x:c>
      <x:c r="S927" s="23" t="str"/>
      <x:c r="T927" s="23" t="str">
        <x:v>https://pixelmonmod.com/wiki/Kingambit</x:v>
      </x:c>
    </x:row>
    <x:row r="928" ht="54" customHeight="1">
      <x:c r="A928" s="27" t="n">
        <x:v>984</x:v>
      </x:c>
      <x:c r="B928" s="23" t="str">
        <x:v>Fort-Ivoire</x:v>
      </x:c>
      <x:c r="C928" s="23" t="str">
        <x:v>Great Tusk</x:v>
      </x:c>
      <x:c r="D928" s="23" t="str">
        <x:v>Sol</x:v>
      </x:c>
      <x:c r="E928" s="23" t="str">
        <x:v>Combat</x:v>
      </x:c>
      <x:c r="F928" s="23" t="str">
        <x:v>Ultra Rare</x:v>
      </x:c>
      <x:c r="G928" s="45" t="n">
        <x:v>75000</x:v>
      </x:c>
      <x:c r="H928" s="45" t="n">
        <x:f>IF(G928="","",ROUNDUP(G928*3,0))</x:f>
        <x:v>225000</x:v>
      </x:c>
      <x:c r="I928" s="41" t="n">
        <x:v>1</x:v>
      </x:c>
      <x:c r="J928" s="42" t="n">
        <x:v>115</x:v>
      </x:c>
      <x:c r="K928" s="42" t="n">
        <x:v>131</x:v>
      </x:c>
      <x:c r="L928" s="42" t="n">
        <x:v>131</x:v>
      </x:c>
      <x:c r="M928" s="42" t="n">
        <x:v>53</x:v>
      </x:c>
      <x:c r="N928" s="42" t="n">
        <x:v>53</x:v>
      </x:c>
      <x:c r="O928" s="42" t="n">
        <x:v>87</x:v>
      </x:c>
      <x:c r="P928" s="43" t="n">
        <x:f>IF(COUNT(J928:O928)=0,"",SUM(J928:O928))</x:f>
        <x:v>570</x:v>
      </x:c>
      <x:c r="Q928" s="23" t="str">
        <x:v>1 lignes de spawn</x:v>
      </x:c>
      <x:c r="R928" s="23" t="str">
        <x:v>Ce Pokémon a été aperçu ces dernières années. Le nom Fort-Ivoire provient d'une créature mentionnée dans un certain livre.</x:v>
      </x:c>
      <x:c r="S928" s="23" t="str"/>
      <x:c r="T928" s="23" t="str">
        <x:v>https://pixelmonmod.com/wiki/Great_Tusk</x:v>
      </x:c>
    </x:row>
    <x:row r="929" ht="54" customHeight="1">
      <x:c r="A929" s="27" t="n">
        <x:v>985</x:v>
      </x:c>
      <x:c r="B929" s="23" t="str">
        <x:v>Hurle-Queue</x:v>
      </x:c>
      <x:c r="C929" s="23" t="str">
        <x:v>Scream Tail</x:v>
      </x:c>
      <x:c r="D929" s="23" t="str">
        <x:v>Fée</x:v>
      </x:c>
      <x:c r="E929" s="23" t="str">
        <x:v>Psy</x:v>
      </x:c>
      <x:c r="F929" s="23" t="str">
        <x:v>Ultra Rare</x:v>
      </x:c>
      <x:c r="G929" s="45" t="n">
        <x:v>75000</x:v>
      </x:c>
      <x:c r="H929" s="45" t="n">
        <x:f>IF(G929="","",ROUNDUP(G929*3,0))</x:f>
        <x:v>225000</x:v>
      </x:c>
      <x:c r="I929" s="41" t="n">
        <x:v>1</x:v>
      </x:c>
      <x:c r="J929" s="42" t="n">
        <x:v>115</x:v>
      </x:c>
      <x:c r="K929" s="42" t="n">
        <x:v>65</x:v>
      </x:c>
      <x:c r="L929" s="42" t="n">
        <x:v>99</x:v>
      </x:c>
      <x:c r="M929" s="42" t="n">
        <x:v>65</x:v>
      </x:c>
      <x:c r="N929" s="42" t="n">
        <x:v>115</x:v>
      </x:c>
      <x:c r="O929" s="42" t="n">
        <x:v>111</x:v>
      </x:c>
      <x:c r="P929" s="43" t="n">
        <x:f>IF(COUNT(J929:O929)=0,"",SUM(J929:O929))</x:f>
        <x:v>570</x:v>
      </x:c>
      <x:c r="Q929" s="23" t="str">
        <x:v>1 lignes de spawn</x:v>
      </x:c>
      <x:c r="R929" s="23" t="str">
        <x:v>Une seule observation de ce Pokémon a été rapportée. Il ressemble à une mystérieuse créature dépeinte dans un ancien journal d'expédition.</x:v>
      </x:c>
      <x:c r="S929" s="23" t="str"/>
      <x:c r="T929" s="23" t="str">
        <x:v>https://pixelmonmod.com/wiki/Scream_Tail</x:v>
      </x:c>
    </x:row>
    <x:row r="930" ht="54" customHeight="1">
      <x:c r="A930" s="27" t="n">
        <x:v>986</x:v>
      </x:c>
      <x:c r="B930" s="23" t="str">
        <x:v>Bonnet-Rage</x:v>
      </x:c>
      <x:c r="C930" s="23" t="str">
        <x:v>Brute Bonnet</x:v>
      </x:c>
      <x:c r="D930" s="23" t="str">
        <x:v>Plante</x:v>
      </x:c>
      <x:c r="E930" s="23" t="str">
        <x:v>Ténèbres</x:v>
      </x:c>
      <x:c r="F930" s="23" t="str">
        <x:v>Ultra Rare</x:v>
      </x:c>
      <x:c r="G930" s="45" t="n">
        <x:v>75000</x:v>
      </x:c>
      <x:c r="H930" s="45" t="n">
        <x:f>IF(G930="","",ROUNDUP(G930*3,0))</x:f>
        <x:v>225000</x:v>
      </x:c>
      <x:c r="I930" s="41" t="n">
        <x:v>1</x:v>
      </x:c>
      <x:c r="J930" s="42" t="n">
        <x:v>111</x:v>
      </x:c>
      <x:c r="K930" s="42" t="n">
        <x:v>127</x:v>
      </x:c>
      <x:c r="L930" s="42" t="n">
        <x:v>99</x:v>
      </x:c>
      <x:c r="M930" s="42" t="n">
        <x:v>79</x:v>
      </x:c>
      <x:c r="N930" s="42" t="n">
        <x:v>99</x:v>
      </x:c>
      <x:c r="O930" s="42" t="n">
        <x:v>55</x:v>
      </x:c>
      <x:c r="P930" s="43" t="n">
        <x:f>IF(COUNT(J930:O930)=0,"",SUM(J930:O930))</x:f>
        <x:v>570</x:v>
      </x:c>
      <x:c r="Q930" s="23" t="str">
        <x:v>1 lignes de spawn</x:v>
      </x:c>
      <x:c r="R930" s="23" t="str">
        <x:v>Il est possible que la créature désignée comme Bonnet-Rage dans un certain livre soit en réalité ce Pokémon.</x:v>
      </x:c>
      <x:c r="S930" s="23" t="str"/>
      <x:c r="T930" s="23" t="str">
        <x:v>https://pixelmonmod.com/wiki/Brute_Bonnet</x:v>
      </x:c>
    </x:row>
    <x:row r="931" ht="54" customHeight="1">
      <x:c r="A931" s="27" t="n">
        <x:v>987</x:v>
      </x:c>
      <x:c r="B931" s="23" t="str">
        <x:v>Flotte-Mèche</x:v>
      </x:c>
      <x:c r="C931" s="23" t="str">
        <x:v>Flutter Mane</x:v>
      </x:c>
      <x:c r="D931" s="23" t="str">
        <x:v>Spectre</x:v>
      </x:c>
      <x:c r="E931" s="23" t="str">
        <x:v>Fée</x:v>
      </x:c>
      <x:c r="F931" s="23" t="str">
        <x:v>Ultra Rare</x:v>
      </x:c>
      <x:c r="G931" s="45" t="n">
        <x:v>75000</x:v>
      </x:c>
      <x:c r="H931" s="45" t="n">
        <x:f>IF(G931="","",ROUNDUP(G931*3,0))</x:f>
        <x:v>225000</x:v>
      </x:c>
      <x:c r="I931" s="41" t="n">
        <x:v>1</x:v>
      </x:c>
      <x:c r="J931" s="42" t="n">
        <x:v>55</x:v>
      </x:c>
      <x:c r="K931" s="42" t="n">
        <x:v>55</x:v>
      </x:c>
      <x:c r="L931" s="42" t="n">
        <x:v>55</x:v>
      </x:c>
      <x:c r="M931" s="42" t="n">
        <x:v>135</x:v>
      </x:c>
      <x:c r="N931" s="42" t="n">
        <x:v>135</x:v>
      </x:c>
      <x:c r="O931" s="42" t="n">
        <x:v>135</x:v>
      </x:c>
      <x:c r="P931" s="43" t="n">
        <x:f>IF(COUNT(J931:O931)=0,"",SUM(J931:O931))</x:f>
        <x:v>570</x:v>
      </x:c>
      <x:c r="Q931" s="23" t="str">
        <x:v>1 lignes de spawn</x:v>
      </x:c>
      <x:c r="R931" s="23" t="str">
        <x:v>Ce Pokémon possède des caractéristiques semblables à celles de Flotte-Mèche, une créature mentionnée dans un certain livre.</x:v>
      </x:c>
      <x:c r="S931" s="23" t="str"/>
      <x:c r="T931" s="23" t="str">
        <x:v>https://pixelmonmod.com/wiki/Flutter_Mane</x:v>
      </x:c>
    </x:row>
    <x:row r="932" ht="54" customHeight="1">
      <x:c r="A932" s="27" t="n">
        <x:v>988</x:v>
      </x:c>
      <x:c r="B932" s="23" t="str">
        <x:v>Rampe-Ailes</x:v>
      </x:c>
      <x:c r="C932" s="23" t="str">
        <x:v>Slither Wing</x:v>
      </x:c>
      <x:c r="D932" s="23" t="str">
        <x:v>Insecte</x:v>
      </x:c>
      <x:c r="E932" s="23" t="str">
        <x:v>Combat</x:v>
      </x:c>
      <x:c r="F932" s="23" t="str">
        <x:v>Ultra Rare</x:v>
      </x:c>
      <x:c r="G932" s="45" t="n">
        <x:v>75000</x:v>
      </x:c>
      <x:c r="H932" s="45" t="n">
        <x:f>IF(G932="","",ROUNDUP(G932*3,0))</x:f>
        <x:v>225000</x:v>
      </x:c>
      <x:c r="I932" s="41" t="n">
        <x:v>1</x:v>
      </x:c>
      <x:c r="J932" s="42" t="n">
        <x:v>85</x:v>
      </x:c>
      <x:c r="K932" s="42" t="n">
        <x:v>135</x:v>
      </x:c>
      <x:c r="L932" s="42" t="n">
        <x:v>79</x:v>
      </x:c>
      <x:c r="M932" s="42" t="n">
        <x:v>85</x:v>
      </x:c>
      <x:c r="N932" s="42" t="n">
        <x:v>105</x:v>
      </x:c>
      <x:c r="O932" s="42" t="n">
        <x:v>81</x:v>
      </x:c>
      <x:c r="P932" s="43" t="n">
        <x:f>IF(COUNT(J932:O932)=0,"",SUM(J932:O932))</x:f>
        <x:v>570</x:v>
      </x:c>
      <x:c r="Q932" s="23" t="str">
        <x:v>1 lignes de spawn</x:v>
      </x:c>
      <x:c r="R932" s="23" t="str">
        <x:v>Ce Pokémon mystérieux présente des similitudes avec une créature décrite dans un vieux livre sous le nom de Rampe-Ailes.</x:v>
      </x:c>
      <x:c r="S932" s="23" t="str"/>
      <x:c r="T932" s="23" t="str">
        <x:v>https://pixelmonmod.com/wiki/Slither_Wing</x:v>
      </x:c>
    </x:row>
    <x:row r="933" ht="54" customHeight="1">
      <x:c r="A933" s="27" t="n">
        <x:v>989</x:v>
      </x:c>
      <x:c r="B933" s="23" t="str">
        <x:v>Pelage-Sablé</x:v>
      </x:c>
      <x:c r="C933" s="23" t="str">
        <x:v>Sandy Shocks</x:v>
      </x:c>
      <x:c r="D933" s="23" t="str">
        <x:v>Électrik</x:v>
      </x:c>
      <x:c r="E933" s="23" t="str">
        <x:v>Sol</x:v>
      </x:c>
      <x:c r="F933" s="23" t="str">
        <x:v>Ultra Rare</x:v>
      </x:c>
      <x:c r="G933" s="45" t="n">
        <x:v>75000</x:v>
      </x:c>
      <x:c r="H933" s="45" t="n">
        <x:f>IF(G933="","",ROUNDUP(G933*3,0))</x:f>
        <x:v>225000</x:v>
      </x:c>
      <x:c r="I933" s="41" t="n">
        <x:v>1</x:v>
      </x:c>
      <x:c r="J933" s="42" t="n">
        <x:v>85</x:v>
      </x:c>
      <x:c r="K933" s="42" t="n">
        <x:v>81</x:v>
      </x:c>
      <x:c r="L933" s="42" t="n">
        <x:v>97</x:v>
      </x:c>
      <x:c r="M933" s="42" t="n">
        <x:v>121</x:v>
      </x:c>
      <x:c r="N933" s="42" t="n">
        <x:v>85</x:v>
      </x:c>
      <x:c r="O933" s="42" t="n">
        <x:v>101</x:v>
      </x:c>
      <x:c r="P933" s="43" t="n">
        <x:f>IF(COUNT(J933:O933)=0,"",SUM(J933:O933))</x:f>
        <x:v>570</x:v>
      </x:c>
      <x:c r="Q933" s="23" t="str">
        <x:v>1 lignes de spawn</x:v>
      </x:c>
      <x:c r="R933" s="23" t="str">
        <x:v>Aucune trace n'atteste la capture de ce Pokémon. Les données manquent, mais ses caractéristiques concordent avec celles d'une créature décrite dans un journal d'expédition.</x:v>
      </x:c>
      <x:c r="S933" s="23" t="str"/>
      <x:c r="T933" s="23" t="str">
        <x:v>https://pixelmonmod.com/wiki/Sandy_Shocks</x:v>
      </x:c>
    </x:row>
    <x:row r="934" ht="54" customHeight="1">
      <x:c r="A934" s="27" t="n">
        <x:v>990</x:v>
      </x:c>
      <x:c r="B934" s="23" t="str">
        <x:v>Roue-Fer</x:v>
      </x:c>
      <x:c r="C934" s="23" t="str">
        <x:v>Iron Treads</x:v>
      </x:c>
      <x:c r="D934" s="23" t="str">
        <x:v>Sol</x:v>
      </x:c>
      <x:c r="E934" s="23" t="str">
        <x:v>Acier</x:v>
      </x:c>
      <x:c r="F934" s="23" t="str">
        <x:v>Ultra Rare</x:v>
      </x:c>
      <x:c r="G934" s="45" t="n">
        <x:v>75000</x:v>
      </x:c>
      <x:c r="H934" s="45" t="n">
        <x:f>IF(G934="","",ROUNDUP(G934*3,0))</x:f>
        <x:v>225000</x:v>
      </x:c>
      <x:c r="I934" s="41" t="n">
        <x:v>1</x:v>
      </x:c>
      <x:c r="J934" s="42" t="n">
        <x:v>90</x:v>
      </x:c>
      <x:c r="K934" s="42" t="n">
        <x:v>112</x:v>
      </x:c>
      <x:c r="L934" s="42" t="n">
        <x:v>120</x:v>
      </x:c>
      <x:c r="M934" s="42" t="n">
        <x:v>72</x:v>
      </x:c>
      <x:c r="N934" s="42" t="n">
        <x:v>70</x:v>
      </x:c>
      <x:c r="O934" s="42" t="n">
        <x:v>106</x:v>
      </x:c>
      <x:c r="P934" s="43" t="n">
        <x:f>IF(COUNT(J934:O934)=0,"",SUM(J934:O934))</x:f>
        <x:v>570</x:v>
      </x:c>
      <x:c r="Q934" s="23" t="str">
        <x:v>1 lignes de spawn</x:v>
      </x:c>
      <x:c r="R934" s="23" t="str">
        <x:v>Ce Pokémon ressemble fortement à une arme scientifique qu'un magazine paranormal prétendait avoir été envoyée sur cette planète par des extraterrestres.</x:v>
      </x:c>
      <x:c r="S934" s="23" t="str"/>
      <x:c r="T934" s="23" t="str">
        <x:v>https://pixelmonmod.com/wiki/Iron_Treads</x:v>
      </x:c>
    </x:row>
    <x:row r="935" ht="54" customHeight="1">
      <x:c r="A935" s="27" t="n">
        <x:v>991</x:v>
      </x:c>
      <x:c r="B935" s="23" t="str">
        <x:v>Hotte-Fer</x:v>
      </x:c>
      <x:c r="C935" s="23" t="str">
        <x:v>Iron Bundle</x:v>
      </x:c>
      <x:c r="D935" s="23" t="str">
        <x:v>Glace</x:v>
      </x:c>
      <x:c r="E935" s="23" t="str">
        <x:v>Eau</x:v>
      </x:c>
      <x:c r="F935" s="23" t="str">
        <x:v>Ultra Rare</x:v>
      </x:c>
      <x:c r="G935" s="45" t="n">
        <x:v>75000</x:v>
      </x:c>
      <x:c r="H935" s="45" t="n">
        <x:f>IF(G935="","",ROUNDUP(G935*3,0))</x:f>
        <x:v>225000</x:v>
      </x:c>
      <x:c r="I935" s="41" t="n">
        <x:v>1</x:v>
      </x:c>
      <x:c r="J935" s="42" t="n">
        <x:v>56</x:v>
      </x:c>
      <x:c r="K935" s="42" t="n">
        <x:v>80</x:v>
      </x:c>
      <x:c r="L935" s="42" t="n">
        <x:v>114</x:v>
      </x:c>
      <x:c r="M935" s="42" t="n">
        <x:v>124</x:v>
      </x:c>
      <x:c r="N935" s="42" t="n">
        <x:v>60</x:v>
      </x:c>
      <x:c r="O935" s="42" t="n">
        <x:v>136</x:v>
      </x:c>
      <x:c r="P935" s="43" t="n">
        <x:f>IF(COUNT(J935:O935)=0,"",SUM(J935:O935))</x:f>
        <x:v>570</x:v>
      </x:c>
      <x:c r="Q935" s="23" t="str">
        <x:v>1 lignes de spawn</x:v>
      </x:c>
      <x:c r="R935" s="23" t="str">
        <x:v>Sa silhouette rappelle celle d'un robot présenté dans un article de magazine paranormal. On raconte que le robot aurait été créé par une ancienne civilisation.</x:v>
      </x:c>
      <x:c r="S935" s="23" t="str"/>
      <x:c r="T935" s="23" t="str">
        <x:v>https://pixelmonmod.com/wiki/Iron_Bundle</x:v>
      </x:c>
    </x:row>
    <x:row r="936" ht="54" customHeight="1">
      <x:c r="A936" s="27" t="n">
        <x:v>992</x:v>
      </x:c>
      <x:c r="B936" s="23" t="str">
        <x:v>Paume-Fer</x:v>
      </x:c>
      <x:c r="C936" s="23" t="str">
        <x:v>Iron Hands</x:v>
      </x:c>
      <x:c r="D936" s="23" t="str">
        <x:v>Combat</x:v>
      </x:c>
      <x:c r="E936" s="23" t="str">
        <x:v>Électrik</x:v>
      </x:c>
      <x:c r="F936" s="23" t="str">
        <x:v>Ultra Rare</x:v>
      </x:c>
      <x:c r="G936" s="45" t="n">
        <x:v>75000</x:v>
      </x:c>
      <x:c r="H936" s="45" t="n">
        <x:f>IF(G936="","",ROUNDUP(G936*3,0))</x:f>
        <x:v>225000</x:v>
      </x:c>
      <x:c r="I936" s="41" t="n">
        <x:v>1</x:v>
      </x:c>
      <x:c r="J936" s="42" t="n">
        <x:v>154</x:v>
      </x:c>
      <x:c r="K936" s="42" t="n">
        <x:v>140</x:v>
      </x:c>
      <x:c r="L936" s="42" t="n">
        <x:v>108</x:v>
      </x:c>
      <x:c r="M936" s="42" t="n">
        <x:v>50</x:v>
      </x:c>
      <x:c r="N936" s="42" t="n">
        <x:v>68</x:v>
      </x:c>
      <x:c r="O936" s="42" t="n">
        <x:v>50</x:v>
      </x:c>
      <x:c r="P936" s="43" t="n">
        <x:f>IF(COUNT(J936:O936)=0,"",SUM(J936:O936))</x:f>
        <x:v>570</x:v>
      </x:c>
      <x:c r="Q936" s="23" t="str">
        <x:v>1 lignes de spawn</x:v>
      </x:c>
      <x:c r="R936" s="23" t="str">
        <x:v>Il ressemble fortement à un cyborg dont seul un magazine paranormal a parlé. On raconte que ce cyborg serait la forme modifiée d'un certain athlète.</x:v>
      </x:c>
      <x:c r="S936" s="23" t="str"/>
      <x:c r="T936" s="23" t="str">
        <x:v>https://pixelmonmod.com/wiki/Iron_Hands</x:v>
      </x:c>
    </x:row>
    <x:row r="937" ht="54" customHeight="1">
      <x:c r="A937" s="27" t="n">
        <x:v>993</x:v>
      </x:c>
      <x:c r="B937" s="23" t="str">
        <x:v>Têtes-Fer</x:v>
      </x:c>
      <x:c r="C937" s="23" t="str">
        <x:v>Iron Jugulis</x:v>
      </x:c>
      <x:c r="D937" s="23" t="str">
        <x:v>Ténèbres</x:v>
      </x:c>
      <x:c r="E937" s="23" t="str">
        <x:v>Vol</x:v>
      </x:c>
      <x:c r="F937" s="23" t="str">
        <x:v>Ultra Rare</x:v>
      </x:c>
      <x:c r="G937" s="45" t="n">
        <x:v>75000</x:v>
      </x:c>
      <x:c r="H937" s="45" t="n">
        <x:f>IF(G937="","",ROUNDUP(G937*3,0))</x:f>
        <x:v>225000</x:v>
      </x:c>
      <x:c r="I937" s="41" t="n">
        <x:v>1</x:v>
      </x:c>
      <x:c r="J937" s="42" t="n">
        <x:v>94</x:v>
      </x:c>
      <x:c r="K937" s="42" t="n">
        <x:v>80</x:v>
      </x:c>
      <x:c r="L937" s="42" t="n">
        <x:v>86</x:v>
      </x:c>
      <x:c r="M937" s="42" t="n">
        <x:v>122</x:v>
      </x:c>
      <x:c r="N937" s="42" t="n">
        <x:v>80</x:v>
      </x:c>
      <x:c r="O937" s="42" t="n">
        <x:v>108</x:v>
      </x:c>
      <x:c r="P937" s="43" t="n">
        <x:f>IF(COUNT(J937:O937)=0,"",SUM(J937:O937))</x:f>
        <x:v>570</x:v>
      </x:c>
      <x:c r="Q937" s="23" t="str">
        <x:v>1 lignes de spawn</x:v>
      </x:c>
      <x:c r="R937" s="23" t="str">
        <x:v>Il ressemble à un certain Pokémon introduit dans un magazine paranormal, décrit comme la progéniture d'un Trioxhydre tombé amoureux d'un robot.</x:v>
      </x:c>
      <x:c r="S937" s="23" t="str"/>
      <x:c r="T937" s="23" t="str">
        <x:v>https://pixelmonmod.com/wiki/Iron_Jugulis</x:v>
      </x:c>
    </x:row>
    <x:row r="938" ht="54" customHeight="1">
      <x:c r="A938" s="27" t="n">
        <x:v>994</x:v>
      </x:c>
      <x:c r="B938" s="23" t="str">
        <x:v>Mite-Fer</x:v>
      </x:c>
      <x:c r="C938" s="23" t="str">
        <x:v>Iron Moth</x:v>
      </x:c>
      <x:c r="D938" s="23" t="str">
        <x:v>Feu</x:v>
      </x:c>
      <x:c r="E938" s="23" t="str">
        <x:v>Poison</x:v>
      </x:c>
      <x:c r="F938" s="23" t="str">
        <x:v>Ultra Rare</x:v>
      </x:c>
      <x:c r="G938" s="45" t="n">
        <x:v>75000</x:v>
      </x:c>
      <x:c r="H938" s="45" t="n">
        <x:f>IF(G938="","",ROUNDUP(G938*3,0))</x:f>
        <x:v>225000</x:v>
      </x:c>
      <x:c r="I938" s="41" t="n">
        <x:v>1</x:v>
      </x:c>
      <x:c r="J938" s="42" t="n">
        <x:v>80</x:v>
      </x:c>
      <x:c r="K938" s="42" t="n">
        <x:v>70</x:v>
      </x:c>
      <x:c r="L938" s="42" t="n">
        <x:v>60</x:v>
      </x:c>
      <x:c r="M938" s="42" t="n">
        <x:v>140</x:v>
      </x:c>
      <x:c r="N938" s="42" t="n">
        <x:v>110</x:v>
      </x:c>
      <x:c r="O938" s="42" t="n">
        <x:v>110</x:v>
      </x:c>
      <x:c r="P938" s="43" t="n">
        <x:f>IF(COUNT(J938:O938)=0,"",SUM(J938:O938))</x:f>
        <x:v>570</x:v>
      </x:c>
      <x:c r="Q938" s="23" t="str">
        <x:v>1 lignes de spawn</x:v>
      </x:c>
      <x:c r="R938" s="23" t="str">
        <x:v>Ce Pokémon ressemble à un objet inconnu décrit dans un magazine paranormal comme un OVNI envoyé pour observer l'humanité.</x:v>
      </x:c>
      <x:c r="S938" s="23" t="str"/>
      <x:c r="T938" s="23" t="str">
        <x:v>https://pixelmonmod.com/wiki/Iron_Moth</x:v>
      </x:c>
    </x:row>
    <x:row r="939" ht="54" customHeight="1">
      <x:c r="A939" s="27" t="n">
        <x:v>995</x:v>
      </x:c>
      <x:c r="B939" s="23" t="str">
        <x:v>Épine-Fer</x:v>
      </x:c>
      <x:c r="C939" s="23" t="str">
        <x:v>Iron Thorns</x:v>
      </x:c>
      <x:c r="D939" s="23" t="str">
        <x:v>Roche</x:v>
      </x:c>
      <x:c r="E939" s="23" t="str">
        <x:v>Électrik</x:v>
      </x:c>
      <x:c r="F939" s="23" t="str">
        <x:v>Ultra Rare</x:v>
      </x:c>
      <x:c r="G939" s="45" t="n">
        <x:v>75000</x:v>
      </x:c>
      <x:c r="H939" s="45" t="n">
        <x:f>IF(G939="","",ROUNDUP(G939*3,0))</x:f>
        <x:v>225000</x:v>
      </x:c>
      <x:c r="I939" s="41" t="n">
        <x:v>1</x:v>
      </x:c>
      <x:c r="J939" s="42" t="n">
        <x:v>100</x:v>
      </x:c>
      <x:c r="K939" s="42" t="n">
        <x:v>134</x:v>
      </x:c>
      <x:c r="L939" s="42" t="n">
        <x:v>110</x:v>
      </x:c>
      <x:c r="M939" s="42" t="n">
        <x:v>70</x:v>
      </x:c>
      <x:c r="N939" s="42" t="n">
        <x:v>84</x:v>
      </x:c>
      <x:c r="O939" s="42" t="n">
        <x:v>72</x:v>
      </x:c>
      <x:c r="P939" s="43" t="n">
        <x:f>IF(COUNT(J939:O939)=0,"",SUM(J939:O939))</x:f>
        <x:v>570</x:v>
      </x:c>
      <x:c r="Q939" s="23" t="str">
        <x:v>1 lignes de spawn</x:v>
      </x:c>
      <x:c r="R939" s="23" t="str">
        <x:v>Il présente des similitudes avec un Pokémon décrit dans un magazine douteux comme un Tyranocif venant d'un milliard d'années dans le futur.</x:v>
      </x:c>
      <x:c r="S939" s="23" t="str"/>
      <x:c r="T939" s="23" t="str">
        <x:v>https://pixelmonmod.com/wiki/Iron_Thorns</x:v>
      </x:c>
    </x:row>
    <x:row r="940" ht="54" customHeight="1">
      <x:c r="A940" s="27" t="n">
        <x:v>996</x:v>
      </x:c>
      <x:c r="B940" s="23" t="str">
        <x:v>Frigodo</x:v>
      </x:c>
      <x:c r="C940" s="23" t="str">
        <x:v>Frigibax</x:v>
      </x:c>
      <x:c r="D940" s="23" t="str">
        <x:v>Dragon</x:v>
      </x:c>
      <x:c r="E940" s="23" t="str">
        <x:v>Glace</x:v>
      </x:c>
      <x:c r="F940" s="23" t="str">
        <x:v>Rare</x:v>
      </x:c>
      <x:c r="G940" s="45" t="n">
        <x:v>12000</x:v>
      </x:c>
      <x:c r="H940" s="45" t="n">
        <x:f>IF(G940="","",ROUNDUP(G940*3,0))</x:f>
        <x:v>36000</x:v>
      </x:c>
      <x:c r="I940" s="41" t="n">
        <x:v>1</x:v>
      </x:c>
      <x:c r="J940" s="42" t="n">
        <x:v>65</x:v>
      </x:c>
      <x:c r="K940" s="42" t="n">
        <x:v>75</x:v>
      </x:c>
      <x:c r="L940" s="42" t="n">
        <x:v>45</x:v>
      </x:c>
      <x:c r="M940" s="42" t="n">
        <x:v>35</x:v>
      </x:c>
      <x:c r="N940" s="42" t="n">
        <x:v>45</x:v>
      </x:c>
      <x:c r="O940" s="42" t="n">
        <x:v>55</x:v>
      </x:c>
      <x:c r="P940" s="43" t="n">
        <x:f>IF(COUNT(J940:O940)=0,"",SUM(J940:O940))</x:f>
        <x:v>320</x:v>
      </x:c>
      <x:c r="Q940" s="23" t="str">
        <x:v>3 lignes de spawn</x:v>
      </x:c>
      <x:c r="R940" s="23" t="str">
        <x:v>Frigodo absorbe la chaleur grâce à sa nageoire dorsale et la convertit en énergie glacée. Plus la température est élevée, plus il stocke d'énergie.</x:v>
      </x:c>
      <x:c r="S940" s="23" t="str"/>
      <x:c r="T940" s="23" t="str">
        <x:v>https://pixelmonmod.com/wiki/Frigibax</x:v>
      </x:c>
    </x:row>
    <x:row r="941" ht="54" customHeight="1">
      <x:c r="A941" s="27" t="n">
        <x:v>997</x:v>
      </x:c>
      <x:c r="B941" s="23" t="str">
        <x:v>Cryodo</x:v>
      </x:c>
      <x:c r="C941" s="23" t="str">
        <x:v>Arctibax</x:v>
      </x:c>
      <x:c r="D941" s="23" t="str">
        <x:v>Dragon</x:v>
      </x:c>
      <x:c r="E941" s="23" t="str">
        <x:v>Glace</x:v>
      </x:c>
      <x:c r="F941" s="23" t="str">
        <x:v>Ultra Rare</x:v>
      </x:c>
      <x:c r="G941" s="45" t="n">
        <x:v>75000</x:v>
      </x:c>
      <x:c r="H941" s="45" t="n">
        <x:f>IF(G941="","",ROUNDUP(G941*3,0))</x:f>
        <x:v>225000</x:v>
      </x:c>
      <x:c r="I941" s="41" t="n">
        <x:v>1</x:v>
      </x:c>
      <x:c r="J941" s="42" t="n">
        <x:v>90</x:v>
      </x:c>
      <x:c r="K941" s="42" t="n">
        <x:v>95</x:v>
      </x:c>
      <x:c r="L941" s="42" t="n">
        <x:v>66</x:v>
      </x:c>
      <x:c r="M941" s="42" t="n">
        <x:v>45</x:v>
      </x:c>
      <x:c r="N941" s="42" t="n">
        <x:v>65</x:v>
      </x:c>
      <x:c r="O941" s="42" t="n">
        <x:v>62</x:v>
      </x:c>
      <x:c r="P941" s="43" t="n">
        <x:f>IF(COUNT(J941:O941)=0,"",SUM(J941:O941))</x:f>
        <x:v>423</x:v>
      </x:c>
      <x:c r="Q941" s="23" t="str">
        <x:v>3 lignes de spawn</x:v>
      </x:c>
      <x:c r="R941" s="23" t="str">
        <x:v>Cryodo gèle l'air autour de lui, protégeant son visage par un masque de glace et transformant sa nageoire dorsale en lame de glace.</x:v>
      </x:c>
      <x:c r="S941" s="23" t="str"/>
      <x:c r="T941" s="23" t="str">
        <x:v>https://pixelmonmod.com/wiki/Arctibax</x:v>
      </x:c>
    </x:row>
    <x:row r="942" ht="54" customHeight="1">
      <x:c r="A942" s="27" t="n">
        <x:v>998</x:v>
      </x:c>
      <x:c r="B942" s="23" t="str">
        <x:v>Glaivodo</x:v>
      </x:c>
      <x:c r="C942" s="23" t="str">
        <x:v>Baxcalibur</x:v>
      </x:c>
      <x:c r="D942" s="23" t="str">
        <x:v>Dragon</x:v>
      </x:c>
      <x:c r="E942" s="23" t="str">
        <x:v>Glace</x:v>
      </x:c>
      <x:c r="F942" s="23" t="str">
        <x:v>Ultra Rare</x:v>
      </x:c>
      <x:c r="G942" s="45" t="n">
        <x:v>75000</x:v>
      </x:c>
      <x:c r="H942" s="45" t="n">
        <x:f>IF(G942="","",ROUNDUP(G942*3,0))</x:f>
        <x:v>225000</x:v>
      </x:c>
      <x:c r="I942" s="41" t="n">
        <x:v>1</x:v>
      </x:c>
      <x:c r="J942" s="42" t="n">
        <x:v>115</x:v>
      </x:c>
      <x:c r="K942" s="42" t="n">
        <x:v>145</x:v>
      </x:c>
      <x:c r="L942" s="42" t="n">
        <x:v>92</x:v>
      </x:c>
      <x:c r="M942" s="42" t="n">
        <x:v>75</x:v>
      </x:c>
      <x:c r="N942" s="42" t="n">
        <x:v>86</x:v>
      </x:c>
      <x:c r="O942" s="42" t="n">
        <x:v>87</x:v>
      </x:c>
      <x:c r="P942" s="43" t="n">
        <x:f>IF(COUNT(J942:O942)=0,"",SUM(J942:O942))</x:f>
        <x:v>600</x:v>
      </x:c>
      <x:c r="Q942" s="23" t="str">
        <x:v>2 lignes de spawn</x:v>
      </x:c>
      <x:c r="R942" s="23" t="str">
        <x:v>Ce Pokémon expulse de l'air cryogénique par la bouche. Cet air peut geler instantanément même de la lave en fusion.</x:v>
      </x:c>
      <x:c r="S942" s="23" t="str"/>
      <x:c r="T942" s="23" t="str">
        <x:v>https://pixelmonmod.com/wiki/Baxcalibur</x:v>
      </x:c>
    </x:row>
    <x:row r="943" ht="54" customHeight="1">
      <x:c r="A943" s="27" t="n">
        <x:v>999</x:v>
      </x:c>
      <x:c r="B943" s="23" t="str">
        <x:v>Mordudor</x:v>
      </x:c>
      <x:c r="C943" s="23" t="str">
        <x:v>Gimmighoul</x:v>
      </x:c>
      <x:c r="D943" s="23" t="str">
        <x:v>Spectre</x:v>
      </x:c>
      <x:c r="E943" s="23" t="str"/>
      <x:c r="F943" s="23" t="str">
        <x:v>Ultra Rare</x:v>
      </x:c>
      <x:c r="G943" s="45" t="n">
        <x:v>75000</x:v>
      </x:c>
      <x:c r="H943" s="45" t="n">
        <x:f>IF(G943="","",ROUNDUP(G943*3,0))</x:f>
        <x:v>225000</x:v>
      </x:c>
      <x:c r="I943" s="41" t="n">
        <x:v>1</x:v>
      </x:c>
      <x:c r="J943" s="42" t="n">
        <x:v>45</x:v>
      </x:c>
      <x:c r="K943" s="42" t="n">
        <x:v>30</x:v>
      </x:c>
      <x:c r="L943" s="42" t="n">
        <x:v>70</x:v>
      </x:c>
      <x:c r="M943" s="42" t="n">
        <x:v>75</x:v>
      </x:c>
      <x:c r="N943" s="42" t="n">
        <x:v>70</x:v>
      </x:c>
      <x:c r="O943" s="42" t="n">
        <x:v>10</x:v>
      </x:c>
      <x:c r="P943" s="43" t="n">
        <x:f>IF(COUNT(J943:O943)=0,"",SUM(J943:O943))</x:f>
        <x:v>300</x:v>
      </x:c>
      <x:c r="Q943" s="23" t="str">
        <x:v>1 lignes de spawn</x:v>
      </x:c>
      <x:c r="R943" s="23" t="str">
        <x:v>Ce Pokémon est né dans un coffre au trésor il y a environ 1 500 ans. Il aspire la force vitale des scélérats qui tentent de voler le trésor.</x:v>
      </x:c>
      <x:c r="S943" s="23" t="str"/>
      <x:c r="T943" s="23" t="str">
        <x:v>https://pixelmonmod.com/wiki/Gimmighoul</x:v>
      </x:c>
    </x:row>
    <x:row r="944" ht="54" customHeight="1">
      <x:c r="A944" s="27" t="n">
        <x:v>1000</x:v>
      </x:c>
      <x:c r="B944" s="23" t="str">
        <x:v>Gromago</x:v>
      </x:c>
      <x:c r="C944" s="23" t="str">
        <x:v>Gholdengo</x:v>
      </x:c>
      <x:c r="D944" s="23" t="str">
        <x:v>Acier</x:v>
      </x:c>
      <x:c r="E944" s="23" t="str">
        <x:v>Spectre</x:v>
      </x:c>
      <x:c r="F944" s="23" t="str">
        <x:v>Ultra Rare</x:v>
      </x:c>
      <x:c r="G944" s="45" t="n">
        <x:v>75000</x:v>
      </x:c>
      <x:c r="H944" s="45" t="n">
        <x:f>IF(G944="","",ROUNDUP(G944*3,0))</x:f>
        <x:v>225000</x:v>
      </x:c>
      <x:c r="I944" s="41" t="n">
        <x:v>1</x:v>
      </x:c>
      <x:c r="J944" s="42" t="n">
        <x:v>87</x:v>
      </x:c>
      <x:c r="K944" s="42" t="n">
        <x:v>60</x:v>
      </x:c>
      <x:c r="L944" s="42" t="n">
        <x:v>95</x:v>
      </x:c>
      <x:c r="M944" s="42" t="n">
        <x:v>133</x:v>
      </x:c>
      <x:c r="N944" s="42" t="n">
        <x:v>91</x:v>
      </x:c>
      <x:c r="O944" s="42" t="n">
        <x:v>84</x:v>
      </x:c>
      <x:c r="P944" s="43" t="n">
        <x:f>IF(COUNT(J944:O944)=0,"",SUM(J944:O944))</x:f>
        <x:v>550</x:v>
      </x:c>
      <x:c r="Q944" s="23" t="str">
        <x:v>1 lignes de spawn</x:v>
      </x:c>
      <x:c r="R944" s="23" t="str">
        <x:v>Son corps semble constitué de 1 000 pièces. Ce Pokémon s'entend bien avec tout le monde et se fait rapidement des amis.</x:v>
      </x:c>
      <x:c r="S944" s="23" t="str"/>
      <x:c r="T944" s="23" t="str">
        <x:v>https://pixelmonmod.com/wiki/Gholdengo</x:v>
      </x:c>
    </x:row>
    <x:row r="945" ht="54" customHeight="1">
      <x:c r="A945" s="27" t="n">
        <x:v>1005</x:v>
      </x:c>
      <x:c r="B945" s="23" t="str">
        <x:v>Lunaura</x:v>
      </x:c>
      <x:c r="C945" s="23" t="str">
        <x:v>Roaring Moon</x:v>
      </x:c>
      <x:c r="D945" s="23" t="str">
        <x:v>Dragon</x:v>
      </x:c>
      <x:c r="E945" s="23" t="str">
        <x:v>Ténèbres</x:v>
      </x:c>
      <x:c r="F945" s="23" t="str">
        <x:v>Ultra Rare</x:v>
      </x:c>
      <x:c r="G945" s="45" t="n">
        <x:v>75000</x:v>
      </x:c>
      <x:c r="H945" s="45" t="n">
        <x:f>IF(G945="","",ROUNDUP(G945*3,0))</x:f>
        <x:v>225000</x:v>
      </x:c>
      <x:c r="I945" s="41" t="n">
        <x:v>1</x:v>
      </x:c>
      <x:c r="J945" s="42" t="n">
        <x:v>105</x:v>
      </x:c>
      <x:c r="K945" s="42" t="n">
        <x:v>139</x:v>
      </x:c>
      <x:c r="L945" s="42" t="n">
        <x:v>71</x:v>
      </x:c>
      <x:c r="M945" s="42" t="n">
        <x:v>55</x:v>
      </x:c>
      <x:c r="N945" s="42" t="n">
        <x:v>101</x:v>
      </x:c>
      <x:c r="O945" s="42" t="n">
        <x:v>119</x:v>
      </x:c>
      <x:c r="P945" s="43" t="n">
        <x:f>IF(COUNT(J945:O945)=0,"",SUM(J945:O945))</x:f>
        <x:v>590</x:v>
      </x:c>
      <x:c r="Q945" s="23" t="str">
        <x:v>1 lignes de spawn</x:v>
      </x:c>
      <x:c r="R945" s="23" t="str">
        <x:v>Il pourrait s'agir de la créature mentionnée sous le nom de Lunaura dans un journal d'expédition encore rempli de mystères.</x:v>
      </x:c>
      <x:c r="S945" s="23" t="str"/>
      <x:c r="T945" s="23" t="str">
        <x:v>https://pixelmonmod.com/wiki/Roaring_Moon</x:v>
      </x:c>
    </x:row>
    <x:row r="946" ht="54" customHeight="1">
      <x:c r="A946" s="27" t="n">
        <x:v>1006</x:v>
      </x:c>
      <x:c r="B946" s="23" t="str">
        <x:v>Garde-Fer</x:v>
      </x:c>
      <x:c r="C946" s="23" t="str">
        <x:v>Iron Valiant</x:v>
      </x:c>
      <x:c r="D946" s="23" t="str">
        <x:v>Fée</x:v>
      </x:c>
      <x:c r="E946" s="23" t="str">
        <x:v>Combat</x:v>
      </x:c>
      <x:c r="F946" s="23" t="str">
        <x:v>Ultra Rare</x:v>
      </x:c>
      <x:c r="G946" s="45" t="n">
        <x:v>75000</x:v>
      </x:c>
      <x:c r="H946" s="45" t="n">
        <x:f>IF(G946="","",ROUNDUP(G946*3,0))</x:f>
        <x:v>225000</x:v>
      </x:c>
      <x:c r="I946" s="41" t="n">
        <x:v>1</x:v>
      </x:c>
      <x:c r="J946" s="42" t="n">
        <x:v>74</x:v>
      </x:c>
      <x:c r="K946" s="42" t="n">
        <x:v>130</x:v>
      </x:c>
      <x:c r="L946" s="42" t="n">
        <x:v>90</x:v>
      </x:c>
      <x:c r="M946" s="42" t="n">
        <x:v>120</x:v>
      </x:c>
      <x:c r="N946" s="42" t="n">
        <x:v>60</x:v>
      </x:c>
      <x:c r="O946" s="42" t="n">
        <x:v>116</x:v>
      </x:c>
      <x:c r="P946" s="43" t="n">
        <x:f>IF(COUNT(J946:O946)=0,"",SUM(J946:O946))</x:f>
        <x:v>590</x:v>
      </x:c>
      <x:c r="Q946" s="23" t="str">
        <x:v>2 lignes de spawn</x:v>
      </x:c>
      <x:c r="R946" s="23" t="str">
        <x:v>Il présente des similitudes avec l'invention d'un savant fou évoquée dans un magazine paranormal.</x:v>
      </x:c>
      <x:c r="S946" s="23" t="str"/>
      <x:c r="T946" s="23" t="str">
        <x:v>https://pixelmonmod.com/wiki/Iron_Valiant</x:v>
      </x:c>
    </x:row>
    <x:row r="947" ht="54" customHeight="1">
      <x:c r="A947" s="27" t="n">
        <x:v>1009</x:v>
      </x:c>
      <x:c r="B947" s="23" t="str">
        <x:v>Serpente-Eau</x:v>
      </x:c>
      <x:c r="C947" s="23" t="str">
        <x:v>Walking Wake</x:v>
      </x:c>
      <x:c r="D947" s="23" t="str">
        <x:v>Eau</x:v>
      </x:c>
      <x:c r="E947" s="23" t="str">
        <x:v>Dragon</x:v>
      </x:c>
      <x:c r="F947" s="23" t="str">
        <x:v>Non classé</x:v>
      </x:c>
      <x:c r="G947" s="45"/>
      <x:c r="H947" s="45" t="str">
        <x:f>IF(G947="","",ROUNDUP(G947*3,0))</x:f>
      </x:c>
      <x:c r="I947" s="41"/>
      <x:c r="J947" s="42" t="n">
        <x:v>99</x:v>
      </x:c>
      <x:c r="K947" s="42" t="n">
        <x:v>83</x:v>
      </x:c>
      <x:c r="L947" s="42" t="n">
        <x:v>91</x:v>
      </x:c>
      <x:c r="M947" s="42" t="n">
        <x:v>125</x:v>
      </x:c>
      <x:c r="N947" s="42" t="n">
        <x:v>83</x:v>
      </x:c>
      <x:c r="O947" s="42" t="n">
        <x:v>109</x:v>
      </x:c>
      <x:c r="P947" s="43" t="n">
        <x:f>IF(COUNT(J947:O947)=0,"",SUM(J947:O947))</x:f>
        <x:v>590</x:v>
      </x:c>
      <x:c r="Q947" s="23" t="str">
        <x:v>Aucune ligne classée</x:v>
      </x:c>
      <x:c r="R947" s="23" t="str">
        <x:v>Écologie en cours d'étude.</x:v>
      </x:c>
      <x:c r="S947" s="23" t="str">
        <x:v>Aucune rareté wiki exploitable; prix à fixer.</x:v>
      </x:c>
      <x:c r="T947" s="23" t="str">
        <x:v>https://pixelmonmod.com/wiki/Walking_Wake</x:v>
      </x:c>
    </x:row>
    <x:row r="948" ht="54" customHeight="1">
      <x:c r="A948" s="27" t="n">
        <x:v>1010</x:v>
      </x:c>
      <x:c r="B948" s="23" t="str">
        <x:v>Feuilles-Fer</x:v>
      </x:c>
      <x:c r="C948" s="23" t="str">
        <x:v>Iron Leaves</x:v>
      </x:c>
      <x:c r="D948" s="23" t="str">
        <x:v>Plante</x:v>
      </x:c>
      <x:c r="E948" s="23" t="str">
        <x:v>Psy</x:v>
      </x:c>
      <x:c r="F948" s="23" t="str">
        <x:v>Non classé</x:v>
      </x:c>
      <x:c r="G948" s="45"/>
      <x:c r="H948" s="45" t="str">
        <x:f>IF(G948="","",ROUNDUP(G948*3,0))</x:f>
      </x:c>
      <x:c r="I948" s="41"/>
      <x:c r="J948" s="42" t="n">
        <x:v>90</x:v>
      </x:c>
      <x:c r="K948" s="42" t="n">
        <x:v>130</x:v>
      </x:c>
      <x:c r="L948" s="42" t="n">
        <x:v>88</x:v>
      </x:c>
      <x:c r="M948" s="42" t="n">
        <x:v>70</x:v>
      </x:c>
      <x:c r="N948" s="42" t="n">
        <x:v>108</x:v>
      </x:c>
      <x:c r="O948" s="42" t="n">
        <x:v>104</x:v>
      </x:c>
      <x:c r="P948" s="43" t="n">
        <x:f>IF(COUNT(J948:O948)=0,"",SUM(J948:O948))</x:f>
        <x:v>590</x:v>
      </x:c>
      <x:c r="Q948" s="23" t="str">
        <x:v>Aucune ligne classée</x:v>
      </x:c>
      <x:c r="R948" s="23" t="str">
        <x:v>Écologie en cours d'étude.</x:v>
      </x:c>
      <x:c r="S948" s="23" t="str">
        <x:v>Aucune rareté wiki exploitable; prix à fixer.</x:v>
      </x:c>
      <x:c r="T948" s="23" t="str">
        <x:v>https://pixelmonmod.com/wiki/Iron_Leaves</x:v>
      </x:c>
    </x:row>
    <x:row r="949" ht="54" customHeight="1">
      <x:c r="A949" s="27" t="n">
        <x:v>1011</x:v>
      </x:c>
      <x:c r="B949" s="23" t="str">
        <x:v>Pomdramour</x:v>
      </x:c>
      <x:c r="C949" s="23" t="str">
        <x:v>Dipplin</x:v>
      </x:c>
      <x:c r="D949" s="23" t="str">
        <x:v>Plante</x:v>
      </x:c>
      <x:c r="E949" s="23" t="str">
        <x:v>Dragon</x:v>
      </x:c>
      <x:c r="F949" s="23" t="str">
        <x:v>Very Rare / Ultra Rare</x:v>
      </x:c>
      <x:c r="G949" s="45" t="n">
        <x:v>75000</x:v>
      </x:c>
      <x:c r="H949" s="45" t="n">
        <x:f>IF(G949="","",ROUNDUP(G949*3,0))</x:f>
        <x:v>225000</x:v>
      </x:c>
      <x:c r="I949" s="41" t="n">
        <x:v>0.5</x:v>
      </x:c>
      <x:c r="J949" s="42" t="n">
        <x:v>80</x:v>
      </x:c>
      <x:c r="K949" s="42" t="n">
        <x:v>80</x:v>
      </x:c>
      <x:c r="L949" s="42" t="n">
        <x:v>110</x:v>
      </x:c>
      <x:c r="M949" s="42" t="n">
        <x:v>95</x:v>
      </x:c>
      <x:c r="N949" s="42" t="n">
        <x:v>80</x:v>
      </x:c>
      <x:c r="O949" s="42" t="n">
        <x:v>40</x:v>
      </x:c>
      <x:c r="P949" s="43" t="n">
        <x:f>IF(COUNT(J949:O949)=0,"",SUM(J949:O949))</x:f>
        <x:v>485</x:v>
      </x:c>
      <x:c r="Q949" s="23" t="str">
        <x:v>2 lignes de spawn</x:v>
      </x:c>
      <x:c r="R949" s="23" t="str">
        <x:v>La tête qui dépasse appartient au ver antérieur, tandis que la queue appartient au ver central. Les deux partagent une seule pomme et s'entraident.</x:v>
      </x:c>
      <x:c r="S949" s="23" t="str">
        <x:v>Égalité de fréquence; prix provisoire basé sur le palier le plus élevé. Very Rare aligné sur le palier Super Rare (provisoire).</x:v>
      </x:c>
      <x:c r="T949" s="23" t="str">
        <x:v>https://pixelmonmod.com/wiki/Dipplin</x:v>
      </x:c>
    </x:row>
    <x:row r="950" ht="54" customHeight="1">
      <x:c r="A950" s="27" t="n">
        <x:v>1012</x:v>
      </x:c>
      <x:c r="B950" s="23" t="str">
        <x:v>Théffroi</x:v>
      </x:c>
      <x:c r="C950" s="23" t="str">
        <x:v>Poltchageist</x:v>
      </x:c>
      <x:c r="D950" s="23" t="str">
        <x:v>Plante</x:v>
      </x:c>
      <x:c r="E950" s="23" t="str">
        <x:v>Spectre</x:v>
      </x:c>
      <x:c r="F950" s="23" t="str">
        <x:v>Uncommon / Very Rare</x:v>
      </x:c>
      <x:c r="G950" s="45" t="n">
        <x:v>30000</x:v>
      </x:c>
      <x:c r="H950" s="45" t="n">
        <x:f>IF(G950="","",ROUNDUP(G950*3,0))</x:f>
        <x:v>90000</x:v>
      </x:c>
      <x:c r="I950" s="41" t="n">
        <x:v>0.5</x:v>
      </x:c>
      <x:c r="J950" s="42" t="n">
        <x:v>40</x:v>
      </x:c>
      <x:c r="K950" s="42" t="n">
        <x:v>45</x:v>
      </x:c>
      <x:c r="L950" s="42" t="n">
        <x:v>45</x:v>
      </x:c>
      <x:c r="M950" s="42" t="n">
        <x:v>74</x:v>
      </x:c>
      <x:c r="N950" s="42" t="n">
        <x:v>54</x:v>
      </x:c>
      <x:c r="O950" s="42" t="n">
        <x:v>50</x:v>
      </x:c>
      <x:c r="P950" s="43" t="n">
        <x:f>IF(COUNT(J950:O950)=0,"",SUM(J950:O950))</x:f>
        <x:v>308</x:v>
      </x:c>
      <x:c r="Q950" s="23" t="str">
        <x:v>4 lignes de spawn</x:v>
      </x:c>
      <x:c r="R950" s="23" t="str">
        <x:v>On raconte que les regrets d'un maître de cérémonie du thé, mort avant d'avoir perfectionné son art, ont imprégné du matcha et donné naissance à ce Pokémon.</x:v>
      </x:c>
      <x:c r="S950" s="23" t="str">
        <x:v>Égalité de fréquence; prix provisoire basé sur le palier le plus élevé. Very Rare aligné sur le palier Super Rare (provisoire).</x:v>
      </x:c>
      <x:c r="T950" s="23" t="str">
        <x:v>https://pixelmonmod.com/wiki/Poltchageist</x:v>
      </x:c>
    </x:row>
    <x:row r="951" ht="54" customHeight="1">
      <x:c r="A951" s="27" t="n">
        <x:v>1013</x:v>
      </x:c>
      <x:c r="B951" s="23" t="str">
        <x:v>Théffrier</x:v>
      </x:c>
      <x:c r="C951" s="23" t="str">
        <x:v>Sinistcha</x:v>
      </x:c>
      <x:c r="D951" s="23" t="str">
        <x:v>Plante</x:v>
      </x:c>
      <x:c r="E951" s="23" t="str">
        <x:v>Spectre</x:v>
      </x:c>
      <x:c r="F951" s="23" t="str">
        <x:v>Very Rare / Ultra Rare</x:v>
      </x:c>
      <x:c r="G951" s="45" t="n">
        <x:v>75000</x:v>
      </x:c>
      <x:c r="H951" s="45" t="n">
        <x:f>IF(G951="","",ROUNDUP(G951*3,0))</x:f>
        <x:v>225000</x:v>
      </x:c>
      <x:c r="I951" s="41" t="n">
        <x:v>0.5</x:v>
      </x:c>
      <x:c r="J951" s="42" t="n">
        <x:v>71</x:v>
      </x:c>
      <x:c r="K951" s="42" t="n">
        <x:v>60</x:v>
      </x:c>
      <x:c r="L951" s="42" t="n">
        <x:v>106</x:v>
      </x:c>
      <x:c r="M951" s="42" t="n">
        <x:v>121</x:v>
      </x:c>
      <x:c r="N951" s="42" t="n">
        <x:v>80</x:v>
      </x:c>
      <x:c r="O951" s="42" t="n">
        <x:v>70</x:v>
      </x:c>
      <x:c r="P951" s="43" t="n">
        <x:f>IF(COUNT(J951:O951)=0,"",SUM(J951:O951))</x:f>
        <x:v>508</x:v>
      </x:c>
      <x:c r="Q951" s="23" t="str">
        <x:v>4 lignes de spawn</x:v>
      </x:c>
      <x:c r="R951" s="23" t="str">
        <x:v>Il fait semblant d'être du thé afin de tromper les gens et de les pousser à le boire pour absorber leur force vitale. Sa ruse échoue la plupart du temps.</x:v>
      </x:c>
      <x:c r="S951" s="23" t="str">
        <x:v>Égalité de fréquence; prix provisoire basé sur le palier le plus élevé. Very Rare aligné sur le palier Super Rare (provisoire).</x:v>
      </x:c>
      <x:c r="T951" s="23" t="str">
        <x:v>https://pixelmonmod.com/wiki/Sinistcha</x:v>
      </x:c>
    </x:row>
    <x:row r="952" ht="54" customHeight="1">
      <x:c r="A952" s="27" t="n">
        <x:v>1018</x:v>
      </x:c>
      <x:c r="B952" s="23" t="str">
        <x:v>Archéducien</x:v>
      </x:c>
      <x:c r="C952" s="23" t="str">
        <x:v>Archaludon</x:v>
      </x:c>
      <x:c r="D952" s="23" t="str">
        <x:v>Acier</x:v>
      </x:c>
      <x:c r="E952" s="23" t="str">
        <x:v>Dragon</x:v>
      </x:c>
      <x:c r="F952" s="23" t="str">
        <x:v>Ultra Rare</x:v>
      </x:c>
      <x:c r="G952" s="45" t="n">
        <x:v>75000</x:v>
      </x:c>
      <x:c r="H952" s="45" t="n">
        <x:f>IF(G952="","",ROUNDUP(G952*3,0))</x:f>
        <x:v>225000</x:v>
      </x:c>
      <x:c r="I952" s="41" t="n">
        <x:v>1</x:v>
      </x:c>
      <x:c r="J952" s="42" t="n">
        <x:v>90</x:v>
      </x:c>
      <x:c r="K952" s="42" t="n">
        <x:v>105</x:v>
      </x:c>
      <x:c r="L952" s="42" t="n">
        <x:v>130</x:v>
      </x:c>
      <x:c r="M952" s="42" t="n">
        <x:v>125</x:v>
      </x:c>
      <x:c r="N952" s="42" t="n">
        <x:v>65</x:v>
      </x:c>
      <x:c r="O952" s="42" t="n">
        <x:v>85</x:v>
      </x:c>
      <x:c r="P952" s="43" t="n">
        <x:f>IF(COUNT(J952:O952)=0,"",SUM(J952:O952))</x:f>
        <x:v>600</x:v>
      </x:c>
      <x:c r="Q952" s="23" t="str">
        <x:v>1 lignes de spawn</x:v>
      </x:c>
      <x:c r="R952" s="23" t="str">
        <x:v>Il absorbe l'électricité statique qui l'entoure. Les rayons qu'il projette lorsqu'il se tient à quatre pattes sont d'une puissance incroyable.</x:v>
      </x:c>
      <x:c r="S952" s="23" t="str"/>
      <x:c r="T952" s="23" t="str">
        <x:v>https://pixelmonmod.com/wiki/Archaludon</x:v>
      </x:c>
    </x:row>
    <x:row r="953" ht="54" customHeight="1">
      <x:c r="A953" s="27" t="n">
        <x:v>1019</x:v>
      </x:c>
      <x:c r="B953" s="23" t="str">
        <x:v>Hydragomme</x:v>
      </x:c>
      <x:c r="C953" s="23" t="str">
        <x:v>Hydrapple</x:v>
      </x:c>
      <x:c r="D953" s="23" t="str">
        <x:v>Plante</x:v>
      </x:c>
      <x:c r="E953" s="23" t="str">
        <x:v>Dragon</x:v>
      </x:c>
      <x:c r="F953" s="23" t="str">
        <x:v>Ultra Rare</x:v>
      </x:c>
      <x:c r="G953" s="45" t="n">
        <x:v>75000</x:v>
      </x:c>
      <x:c r="H953" s="45" t="n">
        <x:f>IF(G953="","",ROUNDUP(G953*3,0))</x:f>
        <x:v>225000</x:v>
      </x:c>
      <x:c r="I953" s="41" t="n">
        <x:v>1</x:v>
      </x:c>
      <x:c r="J953" s="42" t="n">
        <x:v>106</x:v>
      </x:c>
      <x:c r="K953" s="42" t="n">
        <x:v>80</x:v>
      </x:c>
      <x:c r="L953" s="42" t="n">
        <x:v>110</x:v>
      </x:c>
      <x:c r="M953" s="42" t="n">
        <x:v>120</x:v>
      </x:c>
      <x:c r="N953" s="42" t="n">
        <x:v>80</x:v>
      </x:c>
      <x:c r="O953" s="42" t="n">
        <x:v>44</x:v>
      </x:c>
      <x:c r="P953" s="43" t="n">
        <x:f>IF(COUNT(J953:O953)=0,"",SUM(J953:O953))</x:f>
        <x:v>540</x:v>
      </x:c>
      <x:c r="Q953" s="23" t="str">
        <x:v>2 lignes de spawn</x:v>
      </x:c>
      <x:c r="R953" s="23" t="str">
        <x:v>Sept siro-serpents vivent dans une pomme faite de sirop. Celui du centre est leur commandant.</x:v>
      </x:c>
      <x:c r="S953" s="23" t="str"/>
      <x:c r="T953" s="23" t="str">
        <x:v>https://pixelmonmod.com/wiki/Hydrapple</x:v>
      </x:c>
    </x:row>
    <x:row r="954" ht="54" customHeight="1">
      <x:c r="A954" s="27" t="n">
        <x:v>1020</x:v>
      </x:c>
      <x:c r="B954" s="23" t="str">
        <x:v>Feu-Perçant</x:v>
      </x:c>
      <x:c r="C954" s="23" t="str">
        <x:v>Gouging Fire</x:v>
      </x:c>
      <x:c r="D954" s="23" t="str">
        <x:v>Feu</x:v>
      </x:c>
      <x:c r="E954" s="23" t="str">
        <x:v>Dragon</x:v>
      </x:c>
      <x:c r="F954" s="23" t="str">
        <x:v>Non classé</x:v>
      </x:c>
      <x:c r="G954" s="45"/>
      <x:c r="H954" s="45" t="str">
        <x:f>IF(G954="","",ROUNDUP(G954*3,0))</x:f>
      </x:c>
      <x:c r="I954" s="41"/>
      <x:c r="J954" s="42" t="n">
        <x:v>105</x:v>
      </x:c>
      <x:c r="K954" s="42" t="n">
        <x:v>115</x:v>
      </x:c>
      <x:c r="L954" s="42" t="n">
        <x:v>121</x:v>
      </x:c>
      <x:c r="M954" s="42" t="n">
        <x:v>65</x:v>
      </x:c>
      <x:c r="N954" s="42" t="n">
        <x:v>93</x:v>
      </x:c>
      <x:c r="O954" s="42" t="n">
        <x:v>91</x:v>
      </x:c>
      <x:c r="P954" s="43" t="n">
        <x:f>IF(COUNT(J954:O954)=0,"",SUM(J954:O954))</x:f>
        <x:v>590</x:v>
      </x:c>
      <x:c r="Q954" s="23" t="str">
        <x:v>Aucune ligne classée</x:v>
      </x:c>
      <x:c r="R954" s="23" t="str">
        <x:v>Les rapports d'observation de cette créature sont extrêmement rares. Une courte vidéo la montre en train de tout ravager et de projeter des colonnes de flammes.</x:v>
      </x:c>
      <x:c r="S954" s="23" t="str">
        <x:v>Aucune rareté wiki exploitable; prix à fixer. Espèce marquée undexable dans Pixelmon.</x:v>
      </x:c>
      <x:c r="T954" s="23" t="str">
        <x:v>https://pixelmonmod.com/wiki/Gouging_Fire</x:v>
      </x:c>
    </x:row>
    <x:row r="955" ht="54" customHeight="1">
      <x:c r="A955" s="27" t="n">
        <x:v>1021</x:v>
      </x:c>
      <x:c r="B955" s="23" t="str">
        <x:v>Fulgulairo</x:v>
      </x:c>
      <x:c r="C955" s="23" t="str">
        <x:v>Raging Bolt</x:v>
      </x:c>
      <x:c r="D955" s="23" t="str">
        <x:v>Électrik</x:v>
      </x:c>
      <x:c r="E955" s="23" t="str">
        <x:v>Dragon</x:v>
      </x:c>
      <x:c r="F955" s="23" t="str">
        <x:v>Non classé</x:v>
      </x:c>
      <x:c r="G955" s="45"/>
      <x:c r="H955" s="45" t="str">
        <x:f>IF(G955="","",ROUNDUP(G955*3,0))</x:f>
      </x:c>
      <x:c r="I955" s="41"/>
      <x:c r="J955" s="42" t="n">
        <x:v>125</x:v>
      </x:c>
      <x:c r="K955" s="42" t="n">
        <x:v>73</x:v>
      </x:c>
      <x:c r="L955" s="42" t="n">
        <x:v>91</x:v>
      </x:c>
      <x:c r="M955" s="42" t="n">
        <x:v>137</x:v>
      </x:c>
      <x:c r="N955" s="42" t="n">
        <x:v>89</x:v>
      </x:c>
      <x:c r="O955" s="42" t="n">
        <x:v>75</x:v>
      </x:c>
      <x:c r="P955" s="43" t="n">
        <x:f>IF(COUNT(J955:O955)=0,"",SUM(J955:O955))</x:f>
        <x:v>590</x:v>
      </x:c>
      <x:c r="Q955" s="23" t="str">
        <x:v>Aucune ligne classée</x:v>
      </x:c>
      <x:c r="R955" s="23" t="str">
        <x:v>On dit qu'il réduit en cendres tout ce qui l'entoure grâce à la foudre qu'il libère depuis sa fourrure. On sait très peu de choses sur cette créature.</x:v>
      </x:c>
      <x:c r="S955" s="23" t="str">
        <x:v>Aucune rareté wiki exploitable; prix à fixer.</x:v>
      </x:c>
      <x:c r="T955" s="23" t="str">
        <x:v>https://pixelmonmod.com/wiki/Raging_Bolt</x:v>
      </x:c>
    </x:row>
    <x:row r="956" ht="54" customHeight="1">
      <x:c r="A956" s="27" t="n">
        <x:v>1022</x:v>
      </x:c>
      <x:c r="B956" s="23" t="str">
        <x:v>Roche-Fer</x:v>
      </x:c>
      <x:c r="C956" s="23" t="str">
        <x:v>Iron Boulder</x:v>
      </x:c>
      <x:c r="D956" s="23" t="str">
        <x:v>Roche</x:v>
      </x:c>
      <x:c r="E956" s="23" t="str">
        <x:v>Psy</x:v>
      </x:c>
      <x:c r="F956" s="23" t="str">
        <x:v>Non classé</x:v>
      </x:c>
      <x:c r="G956" s="45"/>
      <x:c r="H956" s="45" t="str">
        <x:f>IF(G956="","",ROUNDUP(G956*3,0))</x:f>
      </x:c>
      <x:c r="I956" s="41"/>
      <x:c r="J956" s="42" t="n">
        <x:v>90</x:v>
      </x:c>
      <x:c r="K956" s="42" t="n">
        <x:v>120</x:v>
      </x:c>
      <x:c r="L956" s="42" t="n">
        <x:v>80</x:v>
      </x:c>
      <x:c r="M956" s="42" t="n">
        <x:v>68</x:v>
      </x:c>
      <x:c r="N956" s="42" t="n">
        <x:v>108</x:v>
      </x:c>
      <x:c r="O956" s="42" t="n">
        <x:v>124</x:v>
      </x:c>
      <x:c r="P956" s="43" t="n">
        <x:f>IF(COUNT(J956:O956)=0,"",SUM(J956:O956))</x:f>
        <x:v>590</x:v>
      </x:c>
      <x:c r="Q956" s="23" t="str">
        <x:v>Aucune ligne classée</x:v>
      </x:c>
      <x:c r="R956" s="23" t="str">
        <x:v>Il ressemble à un Pokémon décrit dans un magazine douteux comme un Terrakion modifié par une organisation maléfique.</x:v>
      </x:c>
      <x:c r="S956" s="23" t="str">
        <x:v>Aucune rareté wiki exploitable; prix à fixer.</x:v>
      </x:c>
      <x:c r="T956" s="23" t="str">
        <x:v>https://pixelmonmod.com/wiki/Iron_Boulder</x:v>
      </x:c>
    </x:row>
    <x:row r="957" ht="54" customHeight="1">
      <x:c r="A957" s="27" t="n">
        <x:v>1023</x:v>
      </x:c>
      <x:c r="B957" s="23" t="str">
        <x:v>Tête-Fer</x:v>
      </x:c>
      <x:c r="C957" s="23" t="str">
        <x:v>Iron Crown</x:v>
      </x:c>
      <x:c r="D957" s="23" t="str">
        <x:v>Acier</x:v>
      </x:c>
      <x:c r="E957" s="23" t="str">
        <x:v>Psy</x:v>
      </x:c>
      <x:c r="F957" s="23" t="str">
        <x:v>Non classé</x:v>
      </x:c>
      <x:c r="G957" s="45"/>
      <x:c r="H957" s="45" t="str">
        <x:f>IF(G957="","",ROUNDUP(G957*3,0))</x:f>
      </x:c>
      <x:c r="I957" s="41"/>
      <x:c r="J957" s="42" t="n">
        <x:v>90</x:v>
      </x:c>
      <x:c r="K957" s="42" t="n">
        <x:v>72</x:v>
      </x:c>
      <x:c r="L957" s="42" t="n">
        <x:v>100</x:v>
      </x:c>
      <x:c r="M957" s="42" t="n">
        <x:v>122</x:v>
      </x:c>
      <x:c r="N957" s="42" t="n">
        <x:v>108</x:v>
      </x:c>
      <x:c r="O957" s="42" t="n">
        <x:v>98</x:v>
      </x:c>
      <x:c r="P957" s="43" t="n">
        <x:f>IF(COUNT(J957:O957)=0,"",SUM(J957:O957))</x:f>
        <x:v>590</x:v>
      </x:c>
      <x:c r="Q957" s="23" t="str">
        <x:v>Aucune ligne classée</x:v>
      </x:c>
      <x:c r="R957" s="23" t="str">
        <x:v>Il ressemble à un mystérieux objet présenté dans un magazine paranormal comme une arme de pointe en forme de Cobaltium.</x:v>
      </x:c>
      <x:c r="S957" s="23" t="str">
        <x:v>Aucune rareté wiki exploitable; prix à fixer.</x:v>
      </x:c>
      <x:c r="T957" s="23" t="str">
        <x:v>https://pixelmonmod.com/wiki/Iron_Crown</x:v>
      </x:c>
    </x:row>
    <x:row r="958" ht="54" customHeight="1">
      <x:c r="A958" s="27" t="n">
        <x:v>1025</x:v>
      </x:c>
      <x:c r="B958" s="23" t="str">
        <x:v>Pêchaminus</x:v>
      </x:c>
      <x:c r="C958" s="23" t="str">
        <x:v>Pecharunt</x:v>
      </x:c>
      <x:c r="D958" s="23" t="str">
        <x:v>Poison</x:v>
      </x:c>
      <x:c r="E958" s="23" t="str">
        <x:v>Spectre</x:v>
      </x:c>
      <x:c r="F958" s="23" t="str">
        <x:v>Non classé</x:v>
      </x:c>
      <x:c r="G958" s="45"/>
      <x:c r="H958" s="45" t="str">
        <x:f>IF(G958="","",ROUNDUP(G958*3,0))</x:f>
      </x:c>
      <x:c r="I958" s="41"/>
      <x:c r="J958" s="42" t="n">
        <x:v>88</x:v>
      </x:c>
      <x:c r="K958" s="42" t="n">
        <x:v>88</x:v>
      </x:c>
      <x:c r="L958" s="42" t="n">
        <x:v>160</x:v>
      </x:c>
      <x:c r="M958" s="42" t="n">
        <x:v>88</x:v>
      </x:c>
      <x:c r="N958" s="42" t="n">
        <x:v>88</x:v>
      </x:c>
      <x:c r="O958" s="42" t="n">
        <x:v>88</x:v>
      </x:c>
      <x:c r="P958" s="43" t="n">
        <x:f>IF(COUNT(J958:O958)=0,"",SUM(J958:O958))</x:f>
        <x:v>600</x:v>
      </x:c>
      <x:c r="Q958" s="23" t="str">
        <x:v>Aucune ligne classée</x:v>
      </x:c>
      <x:c r="R958" s="23" t="str">
        <x:v>Il nourrit les autres avec de dangereux mochis révélant désirs et talents cachés. Ceux qui les mangent tombent sous son emprise et deviennent esclaves de sa volonté.</x:v>
      </x:c>
      <x:c r="S958" s="23" t="str">
        <x:v>Fabuleux : vente et prix à valider.</x:v>
      </x:c>
      <x:c r="T958" s="23" t="str">
        <x:v>https://pixelmonmod.com/wiki/Pecharunt</x:v>
      </x:c>
    </x:row>
    <x:row r="959" ht="54" customHeight="1">
      <x:c r="A959" s="27" t="n">
        <x:v>1026</x:v>
      </x:c>
      <x:c r="B959" s="23" t="str">
        <x:v>Browt</x:v>
      </x:c>
      <x:c r="C959" s="23" t="str">
        <x:v>Browt</x:v>
      </x:c>
      <x:c r="D959" s="23" t="str">
        <x:v>Plante</x:v>
      </x:c>
      <x:c r="E959" s="23" t="str"/>
      <x:c r="F959" s="23" t="str">
        <x:v>Non classé</x:v>
      </x:c>
      <x:c r="G959" s="45"/>
      <x:c r="H959" s="45" t="str">
        <x:f>IF(G959="","",ROUNDUP(G959*3,0))</x:f>
      </x:c>
      <x:c r="I959" s="41"/>
      <x:c r="J959" s="42" t="n">
        <x:v>60</x:v>
      </x:c>
      <x:c r="K959" s="42" t="n">
        <x:v>45</x:v>
      </x:c>
      <x:c r="L959" s="42" t="n">
        <x:v>52</x:v>
      </x:c>
      <x:c r="M959" s="42" t="n">
        <x:v>50</x:v>
      </x:c>
      <x:c r="N959" s="42" t="n">
        <x:v>52</x:v>
      </x:c>
      <x:c r="O959" s="42" t="n">
        <x:v>51</x:v>
      </x:c>
      <x:c r="P959" s="43" t="n">
        <x:f>IF(COUNT(J959:O959)=0,"",SUM(J959:O959))</x:f>
        <x:v>310</x:v>
      </x:c>
      <x:c r="Q959" s="23" t="str">
        <x:v>Aucune ligne classée</x:v>
      </x:c>
      <x:c r="R959" s="23" t="str"/>
      <x:c r="S959" s="23" t="str">
        <x:v>Aucune rareté wiki exploitable; prix à fixer. Espèce marquée undexable dans Pixelmon.</x:v>
      </x:c>
      <x:c r="T959" s="23" t="str">
        <x:v>Données Pixelmon 9.4.1 — aucune page wiki récupérée.</x:v>
      </x:c>
    </x:row>
    <x:row r="960" ht="54" customHeight="1">
      <x:c r="A960" s="27" t="n">
        <x:v>1029</x:v>
      </x:c>
      <x:c r="B960" s="23" t="str">
        <x:v>Pombon</x:v>
      </x:c>
      <x:c r="C960" s="23" t="str">
        <x:v>Pombon</x:v>
      </x:c>
      <x:c r="D960" s="23" t="str">
        <x:v>Feu</x:v>
      </x:c>
      <x:c r="E960" s="23" t="str"/>
      <x:c r="F960" s="23" t="str">
        <x:v>Non classé</x:v>
      </x:c>
      <x:c r="G960" s="45"/>
      <x:c r="H960" s="45" t="str">
        <x:f>IF(G960="","",ROUNDUP(G960*3,0))</x:f>
      </x:c>
      <x:c r="I960" s="41"/>
      <x:c r="J960" s="42" t="n">
        <x:v>55</x:v>
      </x:c>
      <x:c r="K960" s="42" t="n">
        <x:v>50</x:v>
      </x:c>
      <x:c r="L960" s="42" t="n">
        <x:v>57</x:v>
      </x:c>
      <x:c r="M960" s="42" t="n">
        <x:v>49</x:v>
      </x:c>
      <x:c r="N960" s="42" t="n">
        <x:v>52</x:v>
      </x:c>
      <x:c r="O960" s="42" t="n">
        <x:v>47</x:v>
      </x:c>
      <x:c r="P960" s="43" t="n">
        <x:f>IF(COUNT(J960:O960)=0,"",SUM(J960:O960))</x:f>
        <x:v>310</x:v>
      </x:c>
      <x:c r="Q960" s="23" t="str">
        <x:v>Aucune ligne classée</x:v>
      </x:c>
      <x:c r="R960" s="23" t="str"/>
      <x:c r="S960" s="23" t="str">
        <x:v>Aucune rareté wiki exploitable; prix à fixer. Espèce marquée undexable dans Pixelmon.</x:v>
      </x:c>
      <x:c r="T960" s="23" t="str">
        <x:v>Données Pixelmon 9.4.1 — aucune page wiki récupérée.</x:v>
      </x:c>
    </x:row>
    <x:row r="961" ht="54" customHeight="1">
      <x:c r="A961" s="27" t="n">
        <x:v>1032</x:v>
      </x:c>
      <x:c r="B961" s="23" t="str">
        <x:v>Gecqua</x:v>
      </x:c>
      <x:c r="C961" s="23" t="str">
        <x:v>Gecqua</x:v>
      </x:c>
      <x:c r="D961" s="23" t="str">
        <x:v>Eau</x:v>
      </x:c>
      <x:c r="E961" s="23" t="str"/>
      <x:c r="F961" s="23" t="str">
        <x:v>Non classé</x:v>
      </x:c>
      <x:c r="G961" s="45"/>
      <x:c r="H961" s="45" t="str">
        <x:f>IF(G961="","",ROUNDUP(G961*3,0))</x:f>
      </x:c>
      <x:c r="I961" s="41"/>
      <x:c r="J961" s="42" t="n">
        <x:v>50</x:v>
      </x:c>
      <x:c r="K961" s="42" t="n">
        <x:v>50</x:v>
      </x:c>
      <x:c r="L961" s="42" t="n">
        <x:v>48</x:v>
      </x:c>
      <x:c r="M961" s="42" t="n">
        <x:v>50</x:v>
      </x:c>
      <x:c r="N961" s="42" t="n">
        <x:v>52</x:v>
      </x:c>
      <x:c r="O961" s="42" t="n">
        <x:v>60</x:v>
      </x:c>
      <x:c r="P961" s="43" t="n">
        <x:f>IF(COUNT(J961:O961)=0,"",SUM(J961:O961))</x:f>
        <x:v>310</x:v>
      </x:c>
      <x:c r="Q961" s="23" t="str">
        <x:v>Aucune ligne classée</x:v>
      </x:c>
      <x:c r="R961" s="23" t="str"/>
      <x:c r="S961" s="23" t="str">
        <x:v>Aucune rareté wiki exploitable; prix à fixer. Espèce marquée undexable dans Pixelmon.</x:v>
      </x:c>
      <x:c r="T961" s="23" t="str">
        <x:v>Données Pixelmon 9.4.1 — aucune page wiki récupérée.</x:v>
      </x:c>
    </x:row>
    <x:row r="962" ht="54" customHeight="1">
      <x:c r="A962" s="27"/>
      <x:c r="B962" s="23"/>
      <x:c r="C962" s="23"/>
      <x:c r="D962" s="23"/>
      <x:c r="E962" s="23"/>
      <x:c r="F962" s="23"/>
      <x:c r="G962" s="45"/>
      <x:c r="H962" s="45" t="str">
        <x:f>IF(G962="","",ROUNDUP(G962*3,0))</x:f>
      </x:c>
      <x:c r="I962" s="41"/>
      <x:c r="J962" s="42"/>
      <x:c r="K962" s="42"/>
      <x:c r="L962" s="42"/>
      <x:c r="M962" s="42"/>
      <x:c r="N962" s="42"/>
      <x:c r="O962" s="42"/>
      <x:c r="P962" s="43" t="str">
        <x:f>IF(COUNT(J962:O962)=0,"",SUM(J962:O962))</x:f>
      </x:c>
      <x:c r="Q962" s="23"/>
      <x:c r="R962" s="23"/>
      <x:c r="S962" s="23"/>
      <x:c r="T962" s="23"/>
    </x:row>
    <x:row r="963" ht="54" customHeight="1">
      <x:c r="A963" s="27"/>
      <x:c r="B963" s="23"/>
      <x:c r="C963" s="23"/>
      <x:c r="D963" s="23"/>
      <x:c r="E963" s="23"/>
      <x:c r="F963" s="23"/>
      <x:c r="G963" s="45"/>
      <x:c r="H963" s="45" t="str">
        <x:f>IF(G963="","",ROUNDUP(G963*3,0))</x:f>
      </x:c>
      <x:c r="I963" s="41"/>
      <x:c r="J963" s="42"/>
      <x:c r="K963" s="42"/>
      <x:c r="L963" s="42"/>
      <x:c r="M963" s="42"/>
      <x:c r="N963" s="42"/>
      <x:c r="O963" s="42"/>
      <x:c r="P963" s="43" t="str">
        <x:f>IF(COUNT(J963:O963)=0,"",SUM(J963:O963))</x:f>
      </x:c>
      <x:c r="Q963" s="23"/>
      <x:c r="R963" s="23"/>
      <x:c r="S963" s="23"/>
      <x:c r="T963" s="23"/>
    </x:row>
    <x:row r="964" ht="54" customHeight="1">
      <x:c r="A964" s="27"/>
      <x:c r="B964" s="23"/>
      <x:c r="C964" s="23"/>
      <x:c r="D964" s="23"/>
      <x:c r="E964" s="23"/>
      <x:c r="F964" s="23"/>
      <x:c r="G964" s="45"/>
      <x:c r="H964" s="45" t="str">
        <x:f>IF(G964="","",ROUNDUP(G964*3,0))</x:f>
      </x:c>
      <x:c r="I964" s="41"/>
      <x:c r="J964" s="42"/>
      <x:c r="K964" s="42"/>
      <x:c r="L964" s="42"/>
      <x:c r="M964" s="42"/>
      <x:c r="N964" s="42"/>
      <x:c r="O964" s="42"/>
      <x:c r="P964" s="43" t="str">
        <x:f>IF(COUNT(J964:O964)=0,"",SUM(J964:O964))</x:f>
      </x:c>
      <x:c r="Q964" s="23"/>
      <x:c r="R964" s="23"/>
      <x:c r="S964" s="23"/>
      <x:c r="T964" s="23"/>
    </x:row>
    <x:row r="965" ht="54" customHeight="1">
      <x:c r="A965" s="27"/>
      <x:c r="B965" s="23"/>
      <x:c r="C965" s="23"/>
      <x:c r="D965" s="23"/>
      <x:c r="E965" s="23"/>
      <x:c r="F965" s="23"/>
      <x:c r="G965" s="45"/>
      <x:c r="H965" s="45" t="str">
        <x:f>IF(G965="","",ROUNDUP(G965*3,0))</x:f>
      </x:c>
      <x:c r="I965" s="41"/>
      <x:c r="J965" s="42"/>
      <x:c r="K965" s="42"/>
      <x:c r="L965" s="42"/>
      <x:c r="M965" s="42"/>
      <x:c r="N965" s="42"/>
      <x:c r="O965" s="42"/>
      <x:c r="P965" s="43" t="str">
        <x:f>IF(COUNT(J965:O965)=0,"",SUM(J965:O965))</x:f>
      </x:c>
      <x:c r="Q965" s="23"/>
      <x:c r="R965" s="23"/>
      <x:c r="S965" s="23"/>
      <x:c r="T965" s="23"/>
    </x:row>
    <x:row r="966" ht="54" customHeight="1">
      <x:c r="A966" s="27"/>
      <x:c r="B966" s="23"/>
      <x:c r="C966" s="23"/>
      <x:c r="D966" s="23"/>
      <x:c r="E966" s="23"/>
      <x:c r="F966" s="23"/>
      <x:c r="G966" s="45"/>
      <x:c r="H966" s="45" t="str">
        <x:f>IF(G966="","",ROUNDUP(G966*3,0))</x:f>
      </x:c>
      <x:c r="I966" s="41"/>
      <x:c r="J966" s="42"/>
      <x:c r="K966" s="42"/>
      <x:c r="L966" s="42"/>
      <x:c r="M966" s="42"/>
      <x:c r="N966" s="42"/>
      <x:c r="O966" s="42"/>
      <x:c r="P966" s="43" t="str">
        <x:f>IF(COUNT(J966:O966)=0,"",SUM(J966:O966))</x:f>
      </x:c>
      <x:c r="Q966" s="23"/>
      <x:c r="R966" s="23"/>
      <x:c r="S966" s="23"/>
      <x:c r="T966" s="23"/>
    </x:row>
    <x:row r="967" ht="54" customHeight="1">
      <x:c r="A967" s="27"/>
      <x:c r="B967" s="23"/>
      <x:c r="C967" s="23"/>
      <x:c r="D967" s="23"/>
      <x:c r="E967" s="23"/>
      <x:c r="F967" s="23"/>
      <x:c r="G967" s="45"/>
      <x:c r="H967" s="45" t="str">
        <x:f>IF(G967="","",ROUNDUP(G967*3,0))</x:f>
      </x:c>
      <x:c r="I967" s="41"/>
      <x:c r="J967" s="42"/>
      <x:c r="K967" s="42"/>
      <x:c r="L967" s="42"/>
      <x:c r="M967" s="42"/>
      <x:c r="N967" s="42"/>
      <x:c r="O967" s="42"/>
      <x:c r="P967" s="43" t="str">
        <x:f>IF(COUNT(J967:O967)=0,"",SUM(J967:O967))</x:f>
      </x:c>
      <x:c r="Q967" s="23"/>
      <x:c r="R967" s="23"/>
      <x:c r="S967" s="23"/>
      <x:c r="T967" s="23"/>
    </x:row>
    <x:row r="968" ht="54" customHeight="1">
      <x:c r="A968" s="27"/>
      <x:c r="B968" s="23"/>
      <x:c r="C968" s="23"/>
      <x:c r="D968" s="23"/>
      <x:c r="E968" s="23"/>
      <x:c r="F968" s="23"/>
      <x:c r="G968" s="45"/>
      <x:c r="H968" s="45" t="str">
        <x:f>IF(G968="","",ROUNDUP(G968*3,0))</x:f>
      </x:c>
      <x:c r="I968" s="41"/>
      <x:c r="J968" s="42"/>
      <x:c r="K968" s="42"/>
      <x:c r="L968" s="42"/>
      <x:c r="M968" s="42"/>
      <x:c r="N968" s="42"/>
      <x:c r="O968" s="42"/>
      <x:c r="P968" s="43" t="str">
        <x:f>IF(COUNT(J968:O968)=0,"",SUM(J968:O968))</x:f>
      </x:c>
      <x:c r="Q968" s="23"/>
      <x:c r="R968" s="23"/>
      <x:c r="S968" s="23"/>
      <x:c r="T968" s="23"/>
    </x:row>
    <x:row r="969" ht="54" customHeight="1">
      <x:c r="A969" s="27"/>
      <x:c r="B969" s="23"/>
      <x:c r="C969" s="23"/>
      <x:c r="D969" s="23"/>
      <x:c r="E969" s="23"/>
      <x:c r="F969" s="23"/>
      <x:c r="G969" s="45"/>
      <x:c r="H969" s="45" t="str">
        <x:f>IF(G969="","",ROUNDUP(G969*3,0))</x:f>
      </x:c>
      <x:c r="I969" s="41"/>
      <x:c r="J969" s="42"/>
      <x:c r="K969" s="42"/>
      <x:c r="L969" s="42"/>
      <x:c r="M969" s="42"/>
      <x:c r="N969" s="42"/>
      <x:c r="O969" s="42"/>
      <x:c r="P969" s="43" t="str">
        <x:f>IF(COUNT(J969:O969)=0,"",SUM(J969:O969))</x:f>
      </x:c>
      <x:c r="Q969" s="23"/>
      <x:c r="R969" s="23"/>
      <x:c r="S969" s="23"/>
      <x:c r="T969" s="23"/>
    </x:row>
    <x:row r="970" ht="54" customHeight="1">
      <x:c r="A970" s="27"/>
      <x:c r="B970" s="23"/>
      <x:c r="C970" s="23"/>
      <x:c r="D970" s="23"/>
      <x:c r="E970" s="23"/>
      <x:c r="F970" s="23"/>
      <x:c r="G970" s="45"/>
      <x:c r="H970" s="45" t="str">
        <x:f>IF(G970="","",ROUNDUP(G970*3,0))</x:f>
      </x:c>
      <x:c r="I970" s="41"/>
      <x:c r="J970" s="42"/>
      <x:c r="K970" s="42"/>
      <x:c r="L970" s="42"/>
      <x:c r="M970" s="42"/>
      <x:c r="N970" s="42"/>
      <x:c r="O970" s="42"/>
      <x:c r="P970" s="43" t="str">
        <x:f>IF(COUNT(J970:O970)=0,"",SUM(J970:O970))</x:f>
      </x:c>
      <x:c r="Q970" s="23"/>
      <x:c r="R970" s="23"/>
      <x:c r="S970" s="23"/>
      <x:c r="T970" s="23"/>
    </x:row>
    <x:row r="971" ht="54" customHeight="1">
      <x:c r="A971" s="27"/>
      <x:c r="B971" s="23"/>
      <x:c r="C971" s="23"/>
      <x:c r="D971" s="23"/>
      <x:c r="E971" s="23"/>
      <x:c r="F971" s="23"/>
      <x:c r="G971" s="45"/>
      <x:c r="H971" s="45" t="str">
        <x:f>IF(G971="","",ROUNDUP(G971*3,0))</x:f>
      </x:c>
      <x:c r="I971" s="41"/>
      <x:c r="J971" s="42"/>
      <x:c r="K971" s="42"/>
      <x:c r="L971" s="42"/>
      <x:c r="M971" s="42"/>
      <x:c r="N971" s="42"/>
      <x:c r="O971" s="42"/>
      <x:c r="P971" s="43" t="str">
        <x:f>IF(COUNT(J971:O971)=0,"",SUM(J971:O971))</x:f>
      </x:c>
      <x:c r="Q971" s="23"/>
      <x:c r="R971" s="23"/>
      <x:c r="S971" s="23"/>
      <x:c r="T971" s="23"/>
    </x:row>
    <x:row r="972" ht="54" customHeight="1">
      <x:c r="A972" s="27"/>
      <x:c r="B972" s="23"/>
      <x:c r="C972" s="23"/>
      <x:c r="D972" s="23"/>
      <x:c r="E972" s="23"/>
      <x:c r="F972" s="23"/>
      <x:c r="G972" s="45"/>
      <x:c r="H972" s="45" t="str">
        <x:f>IF(G972="","",ROUNDUP(G972*3,0))</x:f>
      </x:c>
      <x:c r="I972" s="41"/>
      <x:c r="J972" s="42"/>
      <x:c r="K972" s="42"/>
      <x:c r="L972" s="42"/>
      <x:c r="M972" s="42"/>
      <x:c r="N972" s="42"/>
      <x:c r="O972" s="42"/>
      <x:c r="P972" s="43" t="str">
        <x:f>IF(COUNT(J972:O972)=0,"",SUM(J972:O972))</x:f>
      </x:c>
      <x:c r="Q972" s="23"/>
      <x:c r="R972" s="23"/>
      <x:c r="S972" s="23"/>
      <x:c r="T972" s="23"/>
    </x:row>
    <x:row r="973" ht="54" customHeight="1">
      <x:c r="A973" s="27"/>
      <x:c r="B973" s="23"/>
      <x:c r="C973" s="23"/>
      <x:c r="D973" s="23"/>
      <x:c r="E973" s="23"/>
      <x:c r="F973" s="23"/>
      <x:c r="G973" s="45"/>
      <x:c r="H973" s="45" t="str">
        <x:f>IF(G973="","",ROUNDUP(G973*3,0))</x:f>
      </x:c>
      <x:c r="I973" s="41"/>
      <x:c r="J973" s="42"/>
      <x:c r="K973" s="42"/>
      <x:c r="L973" s="42"/>
      <x:c r="M973" s="42"/>
      <x:c r="N973" s="42"/>
      <x:c r="O973" s="42"/>
      <x:c r="P973" s="43" t="str">
        <x:f>IF(COUNT(J973:O973)=0,"",SUM(J973:O973))</x:f>
      </x:c>
      <x:c r="Q973" s="23"/>
      <x:c r="R973" s="23"/>
      <x:c r="S973" s="23"/>
      <x:c r="T973" s="23"/>
    </x:row>
    <x:row r="974" ht="54" customHeight="1">
      <x:c r="A974" s="27"/>
      <x:c r="B974" s="23"/>
      <x:c r="C974" s="23"/>
      <x:c r="D974" s="23"/>
      <x:c r="E974" s="23"/>
      <x:c r="F974" s="23"/>
      <x:c r="G974" s="45"/>
      <x:c r="H974" s="45" t="str">
        <x:f>IF(G974="","",ROUNDUP(G974*3,0))</x:f>
      </x:c>
      <x:c r="I974" s="41"/>
      <x:c r="J974" s="42"/>
      <x:c r="K974" s="42"/>
      <x:c r="L974" s="42"/>
      <x:c r="M974" s="42"/>
      <x:c r="N974" s="42"/>
      <x:c r="O974" s="42"/>
      <x:c r="P974" s="43" t="str">
        <x:f>IF(COUNT(J974:O974)=0,"",SUM(J974:O974))</x:f>
      </x:c>
      <x:c r="Q974" s="23"/>
      <x:c r="R974" s="23"/>
      <x:c r="S974" s="23"/>
      <x:c r="T974" s="23"/>
    </x:row>
    <x:row r="975" ht="54" customHeight="1">
      <x:c r="A975" s="27"/>
      <x:c r="B975" s="23"/>
      <x:c r="C975" s="23"/>
      <x:c r="D975" s="23"/>
      <x:c r="E975" s="23"/>
      <x:c r="F975" s="23"/>
      <x:c r="G975" s="45"/>
      <x:c r="H975" s="45" t="str">
        <x:f>IF(G975="","",ROUNDUP(G975*3,0))</x:f>
      </x:c>
      <x:c r="I975" s="41"/>
      <x:c r="J975" s="42"/>
      <x:c r="K975" s="42"/>
      <x:c r="L975" s="42"/>
      <x:c r="M975" s="42"/>
      <x:c r="N975" s="42"/>
      <x:c r="O975" s="42"/>
      <x:c r="P975" s="43" t="str">
        <x:f>IF(COUNT(J975:O975)=0,"",SUM(J975:O975))</x:f>
      </x:c>
      <x:c r="Q975" s="23"/>
      <x:c r="R975" s="23"/>
      <x:c r="S975" s="23"/>
      <x:c r="T975" s="23"/>
    </x:row>
    <x:row r="976" ht="54" customHeight="1">
      <x:c r="A976" s="27"/>
      <x:c r="B976" s="23"/>
      <x:c r="C976" s="23"/>
      <x:c r="D976" s="23"/>
      <x:c r="E976" s="23"/>
      <x:c r="F976" s="23"/>
      <x:c r="G976" s="45"/>
      <x:c r="H976" s="45" t="str">
        <x:f>IF(G976="","",ROUNDUP(G976*3,0))</x:f>
      </x:c>
      <x:c r="I976" s="41"/>
      <x:c r="J976" s="42"/>
      <x:c r="K976" s="42"/>
      <x:c r="L976" s="42"/>
      <x:c r="M976" s="42"/>
      <x:c r="N976" s="42"/>
      <x:c r="O976" s="42"/>
      <x:c r="P976" s="43" t="str">
        <x:f>IF(COUNT(J976:O976)=0,"",SUM(J976:O976))</x:f>
      </x:c>
      <x:c r="Q976" s="23"/>
      <x:c r="R976" s="23"/>
      <x:c r="S976" s="23"/>
      <x:c r="T976" s="23"/>
    </x:row>
    <x:row r="977" ht="54" customHeight="1">
      <x:c r="A977" s="27"/>
      <x:c r="B977" s="23"/>
      <x:c r="C977" s="23"/>
      <x:c r="D977" s="23"/>
      <x:c r="E977" s="23"/>
      <x:c r="F977" s="23"/>
      <x:c r="G977" s="45"/>
      <x:c r="H977" s="45" t="str">
        <x:f>IF(G977="","",ROUNDUP(G977*3,0))</x:f>
      </x:c>
      <x:c r="I977" s="41"/>
      <x:c r="J977" s="42"/>
      <x:c r="K977" s="42"/>
      <x:c r="L977" s="42"/>
      <x:c r="M977" s="42"/>
      <x:c r="N977" s="42"/>
      <x:c r="O977" s="42"/>
      <x:c r="P977" s="43" t="str">
        <x:f>IF(COUNT(J977:O977)=0,"",SUM(J977:O977))</x:f>
      </x:c>
      <x:c r="Q977" s="23"/>
      <x:c r="R977" s="23"/>
      <x:c r="S977" s="23"/>
      <x:c r="T977" s="23"/>
    </x:row>
    <x:row r="978" ht="54" customHeight="1">
      <x:c r="A978" s="27"/>
      <x:c r="B978" s="23"/>
      <x:c r="C978" s="23"/>
      <x:c r="D978" s="23"/>
      <x:c r="E978" s="23"/>
      <x:c r="F978" s="23"/>
      <x:c r="G978" s="45"/>
      <x:c r="H978" s="45" t="str">
        <x:f>IF(G978="","",ROUNDUP(G978*3,0))</x:f>
      </x:c>
      <x:c r="I978" s="41"/>
      <x:c r="J978" s="42"/>
      <x:c r="K978" s="42"/>
      <x:c r="L978" s="42"/>
      <x:c r="M978" s="42"/>
      <x:c r="N978" s="42"/>
      <x:c r="O978" s="42"/>
      <x:c r="P978" s="43" t="str">
        <x:f>IF(COUNT(J978:O978)=0,"",SUM(J978:O978))</x:f>
      </x:c>
      <x:c r="Q978" s="23"/>
      <x:c r="R978" s="23"/>
      <x:c r="S978" s="23"/>
      <x:c r="T978" s="23"/>
    </x:row>
    <x:row r="979" ht="54" customHeight="1">
      <x:c r="A979" s="27"/>
      <x:c r="B979" s="23"/>
      <x:c r="C979" s="23"/>
      <x:c r="D979" s="23"/>
      <x:c r="E979" s="23"/>
      <x:c r="F979" s="23"/>
      <x:c r="G979" s="45"/>
      <x:c r="H979" s="45" t="str">
        <x:f>IF(G979="","",ROUNDUP(G979*3,0))</x:f>
      </x:c>
      <x:c r="I979" s="41"/>
      <x:c r="J979" s="42"/>
      <x:c r="K979" s="42"/>
      <x:c r="L979" s="42"/>
      <x:c r="M979" s="42"/>
      <x:c r="N979" s="42"/>
      <x:c r="O979" s="42"/>
      <x:c r="P979" s="43" t="str">
        <x:f>IF(COUNT(J979:O979)=0,"",SUM(J979:O979))</x:f>
      </x:c>
      <x:c r="Q979" s="23"/>
      <x:c r="R979" s="23"/>
      <x:c r="S979" s="23"/>
      <x:c r="T979" s="23"/>
    </x:row>
    <x:row r="980" ht="54" customHeight="1">
      <x:c r="A980" s="27"/>
      <x:c r="B980" s="23"/>
      <x:c r="C980" s="23"/>
      <x:c r="D980" s="23"/>
      <x:c r="E980" s="23"/>
      <x:c r="F980" s="23"/>
      <x:c r="G980" s="45"/>
      <x:c r="H980" s="45" t="str">
        <x:f>IF(G980="","",ROUNDUP(G980*3,0))</x:f>
      </x:c>
      <x:c r="I980" s="41"/>
      <x:c r="J980" s="42"/>
      <x:c r="K980" s="42"/>
      <x:c r="L980" s="42"/>
      <x:c r="M980" s="42"/>
      <x:c r="N980" s="42"/>
      <x:c r="O980" s="42"/>
      <x:c r="P980" s="43" t="str">
        <x:f>IF(COUNT(J980:O980)=0,"",SUM(J980:O980))</x:f>
      </x:c>
      <x:c r="Q980" s="23"/>
      <x:c r="R980" s="23"/>
      <x:c r="S980" s="23"/>
      <x:c r="T980" s="23"/>
    </x:row>
    <x:row r="981" ht="54" customHeight="1">
      <x:c r="A981" s="27"/>
      <x:c r="B981" s="23"/>
      <x:c r="C981" s="23"/>
      <x:c r="D981" s="23"/>
      <x:c r="E981" s="23"/>
      <x:c r="F981" s="23"/>
      <x:c r="G981" s="45"/>
      <x:c r="H981" s="45" t="str">
        <x:f>IF(G981="","",ROUNDUP(G981*3,0))</x:f>
      </x:c>
      <x:c r="I981" s="41"/>
      <x:c r="J981" s="42"/>
      <x:c r="K981" s="42"/>
      <x:c r="L981" s="42"/>
      <x:c r="M981" s="42"/>
      <x:c r="N981" s="42"/>
      <x:c r="O981" s="42"/>
      <x:c r="P981" s="43" t="str">
        <x:f>IF(COUNT(J981:O981)=0,"",SUM(J981:O981))</x:f>
      </x:c>
      <x:c r="Q981" s="23"/>
      <x:c r="R981" s="23"/>
      <x:c r="S981" s="23"/>
      <x:c r="T981" s="23"/>
    </x:row>
    <x:row r="982" ht="54" customHeight="1">
      <x:c r="A982" s="27"/>
      <x:c r="B982" s="23"/>
      <x:c r="C982" s="23"/>
      <x:c r="D982" s="23"/>
      <x:c r="E982" s="23"/>
      <x:c r="F982" s="23"/>
      <x:c r="G982" s="45"/>
      <x:c r="H982" s="45" t="str">
        <x:f>IF(G982="","",ROUNDUP(G982*3,0))</x:f>
      </x:c>
      <x:c r="I982" s="41"/>
      <x:c r="J982" s="42"/>
      <x:c r="K982" s="42"/>
      <x:c r="L982" s="42"/>
      <x:c r="M982" s="42"/>
      <x:c r="N982" s="42"/>
      <x:c r="O982" s="42"/>
      <x:c r="P982" s="43" t="str">
        <x:f>IF(COUNT(J982:O982)=0,"",SUM(J982:O982))</x:f>
      </x:c>
      <x:c r="Q982" s="23"/>
      <x:c r="R982" s="23"/>
      <x:c r="S982" s="23"/>
      <x:c r="T982" s="23"/>
    </x:row>
    <x:row r="983" ht="54" customHeight="1">
      <x:c r="A983" s="27"/>
      <x:c r="B983" s="23"/>
      <x:c r="C983" s="23"/>
      <x:c r="D983" s="23"/>
      <x:c r="E983" s="23"/>
      <x:c r="F983" s="23"/>
      <x:c r="G983" s="45"/>
      <x:c r="H983" s="45" t="str">
        <x:f>IF(G983="","",ROUNDUP(G983*3,0))</x:f>
      </x:c>
      <x:c r="I983" s="41"/>
      <x:c r="J983" s="42"/>
      <x:c r="K983" s="42"/>
      <x:c r="L983" s="42"/>
      <x:c r="M983" s="42"/>
      <x:c r="N983" s="42"/>
      <x:c r="O983" s="42"/>
      <x:c r="P983" s="43" t="str">
        <x:f>IF(COUNT(J983:O983)=0,"",SUM(J983:O983))</x:f>
      </x:c>
      <x:c r="Q983" s="23"/>
      <x:c r="R983" s="23"/>
      <x:c r="S983" s="23"/>
      <x:c r="T983" s="23"/>
    </x:row>
    <x:row r="984" ht="54" customHeight="1">
      <x:c r="A984" s="27"/>
      <x:c r="B984" s="23"/>
      <x:c r="C984" s="23"/>
      <x:c r="D984" s="23"/>
      <x:c r="E984" s="23"/>
      <x:c r="F984" s="23"/>
      <x:c r="G984" s="45"/>
      <x:c r="H984" s="45" t="str">
        <x:f>IF(G984="","",ROUNDUP(G984*3,0))</x:f>
      </x:c>
      <x:c r="I984" s="41"/>
      <x:c r="J984" s="42"/>
      <x:c r="K984" s="42"/>
      <x:c r="L984" s="42"/>
      <x:c r="M984" s="42"/>
      <x:c r="N984" s="42"/>
      <x:c r="O984" s="42"/>
      <x:c r="P984" s="43" t="str">
        <x:f>IF(COUNT(J984:O984)=0,"",SUM(J984:O984))</x:f>
      </x:c>
      <x:c r="Q984" s="23"/>
      <x:c r="R984" s="23"/>
      <x:c r="S984" s="23"/>
      <x:c r="T984" s="23"/>
    </x:row>
    <x:row r="985" ht="54" customHeight="1">
      <x:c r="A985" s="27"/>
      <x:c r="B985" s="23"/>
      <x:c r="C985" s="23"/>
      <x:c r="D985" s="23"/>
      <x:c r="E985" s="23"/>
      <x:c r="F985" s="23"/>
      <x:c r="G985" s="45"/>
      <x:c r="H985" s="45" t="str">
        <x:f>IF(G985="","",ROUNDUP(G985*3,0))</x:f>
      </x:c>
      <x:c r="I985" s="41"/>
      <x:c r="J985" s="42"/>
      <x:c r="K985" s="42"/>
      <x:c r="L985" s="42"/>
      <x:c r="M985" s="42"/>
      <x:c r="N985" s="42"/>
      <x:c r="O985" s="42"/>
      <x:c r="P985" s="43" t="str">
        <x:f>IF(COUNT(J985:O985)=0,"",SUM(J985:O985))</x:f>
      </x:c>
      <x:c r="Q985" s="23"/>
      <x:c r="R985" s="23"/>
      <x:c r="S985" s="23"/>
      <x:c r="T985" s="23"/>
    </x:row>
    <x:row r="986" ht="54" customHeight="1">
      <x:c r="A986" s="27"/>
      <x:c r="B986" s="23"/>
      <x:c r="C986" s="23"/>
      <x:c r="D986" s="23"/>
      <x:c r="E986" s="23"/>
      <x:c r="F986" s="23"/>
      <x:c r="G986" s="45"/>
      <x:c r="H986" s="45" t="str">
        <x:f>IF(G986="","",ROUNDUP(G986*3,0))</x:f>
      </x:c>
      <x:c r="I986" s="41"/>
      <x:c r="J986" s="42"/>
      <x:c r="K986" s="42"/>
      <x:c r="L986" s="42"/>
      <x:c r="M986" s="42"/>
      <x:c r="N986" s="42"/>
      <x:c r="O986" s="42"/>
      <x:c r="P986" s="43" t="str">
        <x:f>IF(COUNT(J986:O986)=0,"",SUM(J986:O986))</x:f>
      </x:c>
      <x:c r="Q986" s="23"/>
      <x:c r="R986" s="23"/>
      <x:c r="S986" s="23"/>
      <x:c r="T986" s="23"/>
    </x:row>
    <x:row r="987" ht="54" customHeight="1">
      <x:c r="A987" s="27"/>
      <x:c r="B987" s="23"/>
      <x:c r="C987" s="23"/>
      <x:c r="D987" s="23"/>
      <x:c r="E987" s="23"/>
      <x:c r="F987" s="23"/>
      <x:c r="G987" s="45"/>
      <x:c r="H987" s="45" t="str">
        <x:f>IF(G987="","",ROUNDUP(G987*3,0))</x:f>
      </x:c>
      <x:c r="I987" s="41"/>
      <x:c r="J987" s="42"/>
      <x:c r="K987" s="42"/>
      <x:c r="L987" s="42"/>
      <x:c r="M987" s="42"/>
      <x:c r="N987" s="42"/>
      <x:c r="O987" s="42"/>
      <x:c r="P987" s="43" t="str">
        <x:f>IF(COUNT(J987:O987)=0,"",SUM(J987:O987))</x:f>
      </x:c>
      <x:c r="Q987" s="23"/>
      <x:c r="R987" s="23"/>
      <x:c r="S987" s="23"/>
      <x:c r="T987" s="23"/>
    </x:row>
    <x:row r="988" ht="54" customHeight="1">
      <x:c r="A988" s="27"/>
      <x:c r="B988" s="23"/>
      <x:c r="C988" s="23"/>
      <x:c r="D988" s="23"/>
      <x:c r="E988" s="23"/>
      <x:c r="F988" s="23"/>
      <x:c r="G988" s="45"/>
      <x:c r="H988" s="45" t="str">
        <x:f>IF(G988="","",ROUNDUP(G988*3,0))</x:f>
      </x:c>
      <x:c r="I988" s="41"/>
      <x:c r="J988" s="42"/>
      <x:c r="K988" s="42"/>
      <x:c r="L988" s="42"/>
      <x:c r="M988" s="42"/>
      <x:c r="N988" s="42"/>
      <x:c r="O988" s="42"/>
      <x:c r="P988" s="43" t="str">
        <x:f>IF(COUNT(J988:O988)=0,"",SUM(J988:O988))</x:f>
      </x:c>
      <x:c r="Q988" s="23"/>
      <x:c r="R988" s="23"/>
      <x:c r="S988" s="23"/>
      <x:c r="T988" s="23"/>
    </x:row>
    <x:row r="989" ht="54" customHeight="1">
      <x:c r="A989" s="27"/>
      <x:c r="B989" s="23"/>
      <x:c r="C989" s="23"/>
      <x:c r="D989" s="23"/>
      <x:c r="E989" s="23"/>
      <x:c r="F989" s="23"/>
      <x:c r="G989" s="45"/>
      <x:c r="H989" s="45" t="str">
        <x:f>IF(G989="","",ROUNDUP(G989*3,0))</x:f>
      </x:c>
      <x:c r="I989" s="41"/>
      <x:c r="J989" s="42"/>
      <x:c r="K989" s="42"/>
      <x:c r="L989" s="42"/>
      <x:c r="M989" s="42"/>
      <x:c r="N989" s="42"/>
      <x:c r="O989" s="42"/>
      <x:c r="P989" s="43" t="str">
        <x:f>IF(COUNT(J989:O989)=0,"",SUM(J989:O989))</x:f>
      </x:c>
      <x:c r="Q989" s="23"/>
      <x:c r="R989" s="23"/>
      <x:c r="S989" s="23"/>
      <x:c r="T989" s="23"/>
    </x:row>
    <x:row r="990" ht="54" customHeight="1">
      <x:c r="A990" s="27"/>
      <x:c r="B990" s="23"/>
      <x:c r="C990" s="23"/>
      <x:c r="D990" s="23"/>
      <x:c r="E990" s="23"/>
      <x:c r="F990" s="23"/>
      <x:c r="G990" s="45"/>
      <x:c r="H990" s="45" t="str">
        <x:f>IF(G990="","",ROUNDUP(G990*3,0))</x:f>
      </x:c>
      <x:c r="I990" s="41"/>
      <x:c r="J990" s="42"/>
      <x:c r="K990" s="42"/>
      <x:c r="L990" s="42"/>
      <x:c r="M990" s="42"/>
      <x:c r="N990" s="42"/>
      <x:c r="O990" s="42"/>
      <x:c r="P990" s="43" t="str">
        <x:f>IF(COUNT(J990:O990)=0,"",SUM(J990:O990))</x:f>
      </x:c>
      <x:c r="Q990" s="23"/>
      <x:c r="R990" s="23"/>
      <x:c r="S990" s="23"/>
      <x:c r="T990" s="23"/>
    </x:row>
    <x:row r="991" ht="54" customHeight="1">
      <x:c r="A991" s="27"/>
      <x:c r="B991" s="23"/>
      <x:c r="C991" s="23"/>
      <x:c r="D991" s="23"/>
      <x:c r="E991" s="23"/>
      <x:c r="F991" s="23"/>
      <x:c r="G991" s="45"/>
      <x:c r="H991" s="45" t="str">
        <x:f>IF(G991="","",ROUNDUP(G991*3,0))</x:f>
      </x:c>
      <x:c r="I991" s="41"/>
      <x:c r="J991" s="42"/>
      <x:c r="K991" s="42"/>
      <x:c r="L991" s="42"/>
      <x:c r="M991" s="42"/>
      <x:c r="N991" s="42"/>
      <x:c r="O991" s="42"/>
      <x:c r="P991" s="43" t="str">
        <x:f>IF(COUNT(J991:O991)=0,"",SUM(J991:O991))</x:f>
      </x:c>
      <x:c r="Q991" s="23"/>
      <x:c r="R991" s="23"/>
      <x:c r="S991" s="23"/>
      <x:c r="T991" s="23"/>
    </x:row>
    <x:row r="992" ht="54" customHeight="1">
      <x:c r="A992" s="27"/>
      <x:c r="B992" s="23"/>
      <x:c r="C992" s="23"/>
      <x:c r="D992" s="23"/>
      <x:c r="E992" s="23"/>
      <x:c r="F992" s="23"/>
      <x:c r="G992" s="45"/>
      <x:c r="H992" s="45" t="str">
        <x:f>IF(G992="","",ROUNDUP(G992*3,0))</x:f>
      </x:c>
      <x:c r="I992" s="41"/>
      <x:c r="J992" s="42"/>
      <x:c r="K992" s="42"/>
      <x:c r="L992" s="42"/>
      <x:c r="M992" s="42"/>
      <x:c r="N992" s="42"/>
      <x:c r="O992" s="42"/>
      <x:c r="P992" s="43" t="str">
        <x:f>IF(COUNT(J992:O992)=0,"",SUM(J992:O992))</x:f>
      </x:c>
      <x:c r="Q992" s="23"/>
      <x:c r="R992" s="23"/>
      <x:c r="S992" s="23"/>
      <x:c r="T992" s="23"/>
    </x:row>
    <x:row r="993" ht="54" customHeight="1">
      <x:c r="A993" s="27"/>
      <x:c r="B993" s="23"/>
      <x:c r="C993" s="23"/>
      <x:c r="D993" s="23"/>
      <x:c r="E993" s="23"/>
      <x:c r="F993" s="23"/>
      <x:c r="G993" s="45"/>
      <x:c r="H993" s="45" t="str">
        <x:f>IF(G993="","",ROUNDUP(G993*3,0))</x:f>
      </x:c>
      <x:c r="I993" s="41"/>
      <x:c r="J993" s="42"/>
      <x:c r="K993" s="42"/>
      <x:c r="L993" s="42"/>
      <x:c r="M993" s="42"/>
      <x:c r="N993" s="42"/>
      <x:c r="O993" s="42"/>
      <x:c r="P993" s="43" t="str">
        <x:f>IF(COUNT(J993:O993)=0,"",SUM(J993:O993))</x:f>
      </x:c>
      <x:c r="Q993" s="23"/>
      <x:c r="R993" s="23"/>
      <x:c r="S993" s="23"/>
      <x:c r="T993" s="23"/>
    </x:row>
    <x:row r="994" ht="54" customHeight="1">
      <x:c r="A994" s="27"/>
      <x:c r="B994" s="23"/>
      <x:c r="C994" s="23"/>
      <x:c r="D994" s="23"/>
      <x:c r="E994" s="23"/>
      <x:c r="F994" s="23"/>
      <x:c r="G994" s="45"/>
      <x:c r="H994" s="45" t="str">
        <x:f>IF(G994="","",ROUNDUP(G994*3,0))</x:f>
      </x:c>
      <x:c r="I994" s="41"/>
      <x:c r="J994" s="42"/>
      <x:c r="K994" s="42"/>
      <x:c r="L994" s="42"/>
      <x:c r="M994" s="42"/>
      <x:c r="N994" s="42"/>
      <x:c r="O994" s="42"/>
      <x:c r="P994" s="43" t="str">
        <x:f>IF(COUNT(J994:O994)=0,"",SUM(J994:O994))</x:f>
      </x:c>
      <x:c r="Q994" s="23"/>
      <x:c r="R994" s="23"/>
      <x:c r="S994" s="23"/>
      <x:c r="T994" s="23"/>
    </x:row>
    <x:row r="995" ht="54" customHeight="1">
      <x:c r="A995" s="27"/>
      <x:c r="B995" s="23"/>
      <x:c r="C995" s="23"/>
      <x:c r="D995" s="23"/>
      <x:c r="E995" s="23"/>
      <x:c r="F995" s="23"/>
      <x:c r="G995" s="45"/>
      <x:c r="H995" s="45" t="str">
        <x:f>IF(G995="","",ROUNDUP(G995*3,0))</x:f>
      </x:c>
      <x:c r="I995" s="41"/>
      <x:c r="J995" s="42"/>
      <x:c r="K995" s="42"/>
      <x:c r="L995" s="42"/>
      <x:c r="M995" s="42"/>
      <x:c r="N995" s="42"/>
      <x:c r="O995" s="42"/>
      <x:c r="P995" s="43" t="str">
        <x:f>IF(COUNT(J995:O995)=0,"",SUM(J995:O995))</x:f>
      </x:c>
      <x:c r="Q995" s="23"/>
      <x:c r="R995" s="23"/>
      <x:c r="S995" s="23"/>
      <x:c r="T995" s="23"/>
    </x:row>
    <x:row r="996" ht="54" customHeight="1">
      <x:c r="A996" s="27"/>
      <x:c r="B996" s="23"/>
      <x:c r="C996" s="23"/>
      <x:c r="D996" s="23"/>
      <x:c r="E996" s="23"/>
      <x:c r="F996" s="23"/>
      <x:c r="G996" s="45"/>
      <x:c r="H996" s="45" t="str">
        <x:f>IF(G996="","",ROUNDUP(G996*3,0))</x:f>
      </x:c>
      <x:c r="I996" s="41"/>
      <x:c r="J996" s="42"/>
      <x:c r="K996" s="42"/>
      <x:c r="L996" s="42"/>
      <x:c r="M996" s="42"/>
      <x:c r="N996" s="42"/>
      <x:c r="O996" s="42"/>
      <x:c r="P996" s="43" t="str">
        <x:f>IF(COUNT(J996:O996)=0,"",SUM(J996:O996))</x:f>
      </x:c>
      <x:c r="Q996" s="23"/>
      <x:c r="R996" s="23"/>
      <x:c r="S996" s="23"/>
      <x:c r="T996" s="23"/>
    </x:row>
    <x:row r="997" ht="54" customHeight="1">
      <x:c r="A997" s="27"/>
      <x:c r="B997" s="23"/>
      <x:c r="C997" s="23"/>
      <x:c r="D997" s="23"/>
      <x:c r="E997" s="23"/>
      <x:c r="F997" s="23"/>
      <x:c r="G997" s="45"/>
      <x:c r="H997" s="45" t="str">
        <x:f>IF(G997="","",ROUNDUP(G997*3,0))</x:f>
      </x:c>
      <x:c r="I997" s="41"/>
      <x:c r="J997" s="42"/>
      <x:c r="K997" s="42"/>
      <x:c r="L997" s="42"/>
      <x:c r="M997" s="42"/>
      <x:c r="N997" s="42"/>
      <x:c r="O997" s="42"/>
      <x:c r="P997" s="43" t="str">
        <x:f>IF(COUNT(J997:O997)=0,"",SUM(J997:O997))</x:f>
      </x:c>
      <x:c r="Q997" s="23"/>
      <x:c r="R997" s="23"/>
      <x:c r="S997" s="23"/>
      <x:c r="T997" s="23"/>
    </x:row>
    <x:row r="998" ht="54" customHeight="1">
      <x:c r="A998" s="27"/>
      <x:c r="B998" s="23"/>
      <x:c r="C998" s="23"/>
      <x:c r="D998" s="23"/>
      <x:c r="E998" s="23"/>
      <x:c r="F998" s="23"/>
      <x:c r="G998" s="45"/>
      <x:c r="H998" s="45" t="str">
        <x:f>IF(G998="","",ROUNDUP(G998*3,0))</x:f>
      </x:c>
      <x:c r="I998" s="41"/>
      <x:c r="J998" s="42"/>
      <x:c r="K998" s="42"/>
      <x:c r="L998" s="42"/>
      <x:c r="M998" s="42"/>
      <x:c r="N998" s="42"/>
      <x:c r="O998" s="42"/>
      <x:c r="P998" s="43" t="str">
        <x:f>IF(COUNT(J998:O998)=0,"",SUM(J998:O998))</x:f>
      </x:c>
      <x:c r="Q998" s="23"/>
      <x:c r="R998" s="23"/>
      <x:c r="S998" s="23"/>
      <x:c r="T998" s="23"/>
    </x:row>
    <x:row r="999" ht="54" customHeight="1">
      <x:c r="A999" s="27"/>
      <x:c r="B999" s="23"/>
      <x:c r="C999" s="23"/>
      <x:c r="D999" s="23"/>
      <x:c r="E999" s="23"/>
      <x:c r="F999" s="23"/>
      <x:c r="G999" s="45"/>
      <x:c r="H999" s="45" t="str">
        <x:f>IF(G999="","",ROUNDUP(G999*3,0))</x:f>
      </x:c>
      <x:c r="I999" s="41"/>
      <x:c r="J999" s="42"/>
      <x:c r="K999" s="42"/>
      <x:c r="L999" s="42"/>
      <x:c r="M999" s="42"/>
      <x:c r="N999" s="42"/>
      <x:c r="O999" s="42"/>
      <x:c r="P999" s="43" t="str">
        <x:f>IF(COUNT(J999:O999)=0,"",SUM(J999:O999))</x:f>
      </x:c>
      <x:c r="Q999" s="23"/>
      <x:c r="R999" s="23"/>
      <x:c r="S999" s="23"/>
      <x:c r="T999" s="23"/>
    </x:row>
    <x:row r="1000" ht="54" customHeight="1">
      <x:c r="A1000" s="27"/>
      <x:c r="B1000" s="23"/>
      <x:c r="C1000" s="23"/>
      <x:c r="D1000" s="23"/>
      <x:c r="E1000" s="23"/>
      <x:c r="F1000" s="23"/>
      <x:c r="G1000" s="45"/>
      <x:c r="H1000" s="45" t="str">
        <x:f>IF(G1000="","",ROUNDUP(G1000*3,0))</x:f>
      </x:c>
      <x:c r="I1000" s="41"/>
      <x:c r="J1000" s="42"/>
      <x:c r="K1000" s="42"/>
      <x:c r="L1000" s="42"/>
      <x:c r="M1000" s="42"/>
      <x:c r="N1000" s="42"/>
      <x:c r="O1000" s="42"/>
      <x:c r="P1000" s="43" t="str">
        <x:f>IF(COUNT(J1000:O1000)=0,"",SUM(J1000:O1000))</x:f>
      </x:c>
      <x:c r="Q1000" s="23"/>
      <x:c r="R1000" s="23"/>
      <x:c r="S1000" s="23"/>
      <x:c r="T1000" s="23"/>
    </x:row>
    <x:row r="1001" ht="54" customHeight="1">
      <x:c r="A1001" s="27"/>
      <x:c r="B1001" s="23"/>
      <x:c r="C1001" s="23"/>
      <x:c r="D1001" s="23"/>
      <x:c r="E1001" s="23"/>
      <x:c r="F1001" s="23"/>
      <x:c r="G1001" s="45"/>
      <x:c r="H1001" s="45" t="str">
        <x:f>IF(G1001="","",ROUNDUP(G1001*3,0))</x:f>
      </x:c>
      <x:c r="I1001" s="41"/>
      <x:c r="J1001" s="42"/>
      <x:c r="K1001" s="42"/>
      <x:c r="L1001" s="42"/>
      <x:c r="M1001" s="42"/>
      <x:c r="N1001" s="42"/>
      <x:c r="O1001" s="42"/>
      <x:c r="P1001" s="43" t="str">
        <x:f>IF(COUNT(J1001:O1001)=0,"",SUM(J1001:O1001))</x:f>
      </x:c>
      <x:c r="Q1001" s="23"/>
      <x:c r="R1001" s="23"/>
      <x:c r="S1001" s="23"/>
      <x:c r="T1001" s="23"/>
    </x:row>
    <x:row r="1002" ht="54" customHeight="1">
      <x:c r="A1002" s="27"/>
      <x:c r="B1002" s="23"/>
      <x:c r="C1002" s="23"/>
      <x:c r="D1002" s="23"/>
      <x:c r="E1002" s="23"/>
      <x:c r="F1002" s="23"/>
      <x:c r="G1002" s="45"/>
      <x:c r="H1002" s="45" t="str">
        <x:f>IF(G1002="","",ROUNDUP(G1002*3,0))</x:f>
      </x:c>
      <x:c r="I1002" s="41"/>
      <x:c r="J1002" s="42"/>
      <x:c r="K1002" s="42"/>
      <x:c r="L1002" s="42"/>
      <x:c r="M1002" s="42"/>
      <x:c r="N1002" s="42"/>
      <x:c r="O1002" s="42"/>
      <x:c r="P1002" s="43" t="str">
        <x:f>IF(COUNT(J1002:O1002)=0,"",SUM(J1002:O1002))</x:f>
      </x:c>
      <x:c r="Q1002" s="23"/>
      <x:c r="R1002" s="23"/>
      <x:c r="S1002" s="23"/>
      <x:c r="T1002" s="23"/>
    </x:row>
    <x:row r="1003" ht="54" customHeight="1">
      <x:c r="A1003" s="27"/>
      <x:c r="B1003" s="23"/>
      <x:c r="C1003" s="23"/>
      <x:c r="D1003" s="23"/>
      <x:c r="E1003" s="23"/>
      <x:c r="F1003" s="23"/>
      <x:c r="G1003" s="45"/>
      <x:c r="H1003" s="45" t="str">
        <x:f>IF(G1003="","",ROUNDUP(G1003*3,0))</x:f>
      </x:c>
      <x:c r="I1003" s="41"/>
      <x:c r="J1003" s="42"/>
      <x:c r="K1003" s="42"/>
      <x:c r="L1003" s="42"/>
      <x:c r="M1003" s="42"/>
      <x:c r="N1003" s="42"/>
      <x:c r="O1003" s="42"/>
      <x:c r="P1003" s="43" t="str">
        <x:f>IF(COUNT(J1003:O1003)=0,"",SUM(J1003:O1003))</x:f>
      </x:c>
      <x:c r="Q1003" s="23"/>
      <x:c r="R1003" s="23"/>
      <x:c r="S1003" s="23"/>
      <x:c r="T1003" s="23"/>
    </x:row>
    <x:row r="1004" ht="54" customHeight="1">
      <x:c r="A1004" s="27"/>
      <x:c r="B1004" s="23"/>
      <x:c r="C1004" s="23"/>
      <x:c r="D1004" s="23"/>
      <x:c r="E1004" s="23"/>
      <x:c r="F1004" s="23"/>
      <x:c r="G1004" s="45"/>
      <x:c r="H1004" s="45" t="str">
        <x:f>IF(G1004="","",ROUNDUP(G1004*3,0))</x:f>
      </x:c>
      <x:c r="I1004" s="41"/>
      <x:c r="J1004" s="42"/>
      <x:c r="K1004" s="42"/>
      <x:c r="L1004" s="42"/>
      <x:c r="M1004" s="42"/>
      <x:c r="N1004" s="42"/>
      <x:c r="O1004" s="42"/>
      <x:c r="P1004" s="43" t="str">
        <x:f>IF(COUNT(J1004:O1004)=0,"",SUM(J1004:O1004))</x:f>
      </x:c>
      <x:c r="Q1004" s="23"/>
      <x:c r="R1004" s="23"/>
      <x:c r="S1004" s="23"/>
      <x:c r="T1004" s="23"/>
    </x:row>
    <x:row r="1005" ht="54" customHeight="1">
      <x:c r="A1005" s="27"/>
      <x:c r="B1005" s="23"/>
      <x:c r="C1005" s="23"/>
      <x:c r="D1005" s="23"/>
      <x:c r="E1005" s="23"/>
      <x:c r="F1005" s="23"/>
      <x:c r="G1005" s="45"/>
      <x:c r="H1005" s="45" t="str">
        <x:f>IF(G1005="","",ROUNDUP(G1005*3,0))</x:f>
      </x:c>
      <x:c r="I1005" s="41"/>
      <x:c r="J1005" s="42"/>
      <x:c r="K1005" s="42"/>
      <x:c r="L1005" s="42"/>
      <x:c r="M1005" s="42"/>
      <x:c r="N1005" s="42"/>
      <x:c r="O1005" s="42"/>
      <x:c r="P1005" s="43" t="str">
        <x:f>IF(COUNT(J1005:O1005)=0,"",SUM(J1005:O1005))</x:f>
      </x:c>
      <x:c r="Q1005" s="23"/>
      <x:c r="R1005" s="23"/>
      <x:c r="S1005" s="23"/>
      <x:c r="T1005" s="23"/>
    </x:row>
    <x:row r="1006" ht="54" customHeight="1">
      <x:c r="A1006" s="27"/>
      <x:c r="B1006" s="23"/>
      <x:c r="C1006" s="23"/>
      <x:c r="D1006" s="23"/>
      <x:c r="E1006" s="23"/>
      <x:c r="F1006" s="23"/>
      <x:c r="G1006" s="45"/>
      <x:c r="H1006" s="45" t="str">
        <x:f>IF(G1006="","",ROUNDUP(G1006*3,0))</x:f>
      </x:c>
      <x:c r="I1006" s="41"/>
      <x:c r="J1006" s="42"/>
      <x:c r="K1006" s="42"/>
      <x:c r="L1006" s="42"/>
      <x:c r="M1006" s="42"/>
      <x:c r="N1006" s="42"/>
      <x:c r="O1006" s="42"/>
      <x:c r="P1006" s="43" t="str">
        <x:f>IF(COUNT(J1006:O1006)=0,"",SUM(J1006:O1006))</x:f>
      </x:c>
      <x:c r="Q1006" s="23"/>
      <x:c r="R1006" s="23"/>
      <x:c r="S1006" s="23"/>
      <x:c r="T1006" s="23"/>
    </x:row>
    <x:row r="1007" ht="54" customHeight="1">
      <x:c r="A1007" s="27"/>
      <x:c r="B1007" s="23"/>
      <x:c r="C1007" s="23"/>
      <x:c r="D1007" s="23"/>
      <x:c r="E1007" s="23"/>
      <x:c r="F1007" s="23"/>
      <x:c r="G1007" s="45"/>
      <x:c r="H1007" s="45" t="str">
        <x:f>IF(G1007="","",ROUNDUP(G1007*3,0))</x:f>
      </x:c>
      <x:c r="I1007" s="41"/>
      <x:c r="J1007" s="42"/>
      <x:c r="K1007" s="42"/>
      <x:c r="L1007" s="42"/>
      <x:c r="M1007" s="42"/>
      <x:c r="N1007" s="42"/>
      <x:c r="O1007" s="42"/>
      <x:c r="P1007" s="43" t="str">
        <x:f>IF(COUNT(J1007:O1007)=0,"",SUM(J1007:O1007))</x:f>
      </x:c>
      <x:c r="Q1007" s="23"/>
      <x:c r="R1007" s="23"/>
      <x:c r="S1007" s="23"/>
      <x:c r="T1007" s="23"/>
    </x:row>
    <x:row r="1008" ht="54" customHeight="1">
      <x:c r="A1008" s="27"/>
      <x:c r="B1008" s="23"/>
      <x:c r="C1008" s="23"/>
      <x:c r="D1008" s="23"/>
      <x:c r="E1008" s="23"/>
      <x:c r="F1008" s="23"/>
      <x:c r="G1008" s="45"/>
      <x:c r="H1008" s="45" t="str">
        <x:f>IF(G1008="","",ROUNDUP(G1008*3,0))</x:f>
      </x:c>
      <x:c r="I1008" s="41"/>
      <x:c r="J1008" s="42"/>
      <x:c r="K1008" s="42"/>
      <x:c r="L1008" s="42"/>
      <x:c r="M1008" s="42"/>
      <x:c r="N1008" s="42"/>
      <x:c r="O1008" s="42"/>
      <x:c r="P1008" s="43" t="str">
        <x:f>IF(COUNT(J1008:O1008)=0,"",SUM(J1008:O1008))</x:f>
      </x:c>
      <x:c r="Q1008" s="23"/>
      <x:c r="R1008" s="23"/>
      <x:c r="S1008" s="23"/>
      <x:c r="T1008" s="23"/>
    </x:row>
    <x:row r="1009" ht="54" customHeight="1">
      <x:c r="A1009" s="27"/>
      <x:c r="B1009" s="23"/>
      <x:c r="C1009" s="23"/>
      <x:c r="D1009" s="23"/>
      <x:c r="E1009" s="23"/>
      <x:c r="F1009" s="23"/>
      <x:c r="G1009" s="45"/>
      <x:c r="H1009" s="45" t="str">
        <x:f>IF(G1009="","",ROUNDUP(G1009*3,0))</x:f>
      </x:c>
      <x:c r="I1009" s="41"/>
      <x:c r="J1009" s="42"/>
      <x:c r="K1009" s="42"/>
      <x:c r="L1009" s="42"/>
      <x:c r="M1009" s="42"/>
      <x:c r="N1009" s="42"/>
      <x:c r="O1009" s="42"/>
      <x:c r="P1009" s="43" t="str">
        <x:f>IF(COUNT(J1009:O1009)=0,"",SUM(J1009:O1009))</x:f>
      </x:c>
      <x:c r="Q1009" s="23"/>
      <x:c r="R1009" s="23"/>
      <x:c r="S1009" s="23"/>
      <x:c r="T1009" s="23"/>
    </x:row>
    <x:row r="1010" ht="54" customHeight="1">
      <x:c r="A1010" s="27"/>
      <x:c r="B1010" s="23"/>
      <x:c r="C1010" s="23"/>
      <x:c r="D1010" s="23"/>
      <x:c r="E1010" s="23"/>
      <x:c r="F1010" s="23"/>
      <x:c r="G1010" s="45"/>
      <x:c r="H1010" s="45" t="str">
        <x:f>IF(G1010="","",ROUNDUP(G1010*3,0))</x:f>
      </x:c>
      <x:c r="I1010" s="41"/>
      <x:c r="J1010" s="42"/>
      <x:c r="K1010" s="42"/>
      <x:c r="L1010" s="42"/>
      <x:c r="M1010" s="42"/>
      <x:c r="N1010" s="42"/>
      <x:c r="O1010" s="42"/>
      <x:c r="P1010" s="43" t="str">
        <x:f>IF(COUNT(J1010:O1010)=0,"",SUM(J1010:O1010))</x:f>
      </x:c>
      <x:c r="Q1010" s="23"/>
      <x:c r="R1010" s="23"/>
      <x:c r="S1010" s="23"/>
      <x:c r="T1010" s="23"/>
    </x:row>
    <x:row r="1011" ht="54" customHeight="1">
      <x:c r="A1011" s="27"/>
      <x:c r="B1011" s="23"/>
      <x:c r="C1011" s="23"/>
      <x:c r="D1011" s="23"/>
      <x:c r="E1011" s="23"/>
      <x:c r="F1011" s="23"/>
      <x:c r="G1011" s="45"/>
      <x:c r="H1011" s="45" t="str">
        <x:f>IF(G1011="","",ROUNDUP(G1011*3,0))</x:f>
      </x:c>
      <x:c r="I1011" s="41"/>
      <x:c r="J1011" s="42"/>
      <x:c r="K1011" s="42"/>
      <x:c r="L1011" s="42"/>
      <x:c r="M1011" s="42"/>
      <x:c r="N1011" s="42"/>
      <x:c r="O1011" s="42"/>
      <x:c r="P1011" s="43" t="str">
        <x:f>IF(COUNT(J1011:O1011)=0,"",SUM(J1011:O1011))</x:f>
      </x:c>
      <x:c r="Q1011" s="23"/>
      <x:c r="R1011" s="23"/>
      <x:c r="S1011" s="23"/>
      <x:c r="T1011" s="23"/>
    </x:row>
  </x:sheetData>
  <x:mergeCells>
    <x:mergeCell ref="A2:T2"/>
    <x:mergeCell ref="A3:T3"/>
  </x:mergeCells>
  <x:conditionalFormatting sqref="J5:J1048576">
    <x:cfRule type="dataBar" priority="1">
      <x:dataBar>
        <x:cfvo type="num" val="0"/>
        <x:cfvo type="num" val="255"/>
        <x:color rgb="FFEF4444"/>
      </x:dataBar>
      <x:extLst>
        <x:ext xmlns:x14="http://schemas.microsoft.com/office/spreadsheetml/2009/9/main" uri="{B025F937-C7B1-47D3-B67F-A62EFF666E3E}">
          <x14:id>{894270CC-7300-764F-6749-E00F51D7F023}</x14:id>
        </x:ext>
      </x:extLst>
    </x:cfRule>
  </x:conditionalFormatting>
  <x:conditionalFormatting sqref="K5:K1048576">
    <x:cfRule type="dataBar" priority="2">
      <x:dataBar>
        <x:cfvo type="num" val="0"/>
        <x:cfvo type="num" val="255"/>
        <x:color rgb="FFF97316"/>
      </x:dataBar>
      <x:extLst>
        <x:ext xmlns:x14="http://schemas.microsoft.com/office/spreadsheetml/2009/9/main" uri="{B025F937-C7B1-47D3-B67F-A62EFF666E3E}">
          <x14:id>{CC588F92-C8C4-7C32-2C3F-DF739F464431}</x14:id>
        </x:ext>
      </x:extLst>
    </x:cfRule>
  </x:conditionalFormatting>
  <x:conditionalFormatting sqref="L5:L1048576">
    <x:cfRule type="dataBar" priority="3">
      <x:dataBar>
        <x:cfvo type="num" val="0"/>
        <x:cfvo type="num" val="255"/>
        <x:color rgb="FFEAB308"/>
      </x:dataBar>
      <x:extLst>
        <x:ext xmlns:x14="http://schemas.microsoft.com/office/spreadsheetml/2009/9/main" uri="{B025F937-C7B1-47D3-B67F-A62EFF666E3E}">
          <x14:id>{741C45E6-D494-1F9A-DD5E-D52CDC773B87}</x14:id>
        </x:ext>
      </x:extLst>
    </x:cfRule>
  </x:conditionalFormatting>
  <x:conditionalFormatting sqref="M5:M1048576">
    <x:cfRule type="dataBar" priority="4">
      <x:dataBar>
        <x:cfvo type="num" val="0"/>
        <x:cfvo type="num" val="255"/>
        <x:color rgb="FF3B82F6"/>
      </x:dataBar>
      <x:extLst>
        <x:ext xmlns:x14="http://schemas.microsoft.com/office/spreadsheetml/2009/9/main" uri="{B025F937-C7B1-47D3-B67F-A62EFF666E3E}">
          <x14:id>{2CFBFF68-44AE-CEA6-E1ED-A36BA82650D2}</x14:id>
        </x:ext>
      </x:extLst>
    </x:cfRule>
  </x:conditionalFormatting>
  <x:conditionalFormatting sqref="N5:N1048576">
    <x:cfRule type="dataBar" priority="5">
      <x:dataBar>
        <x:cfvo type="num" val="0"/>
        <x:cfvo type="num" val="255"/>
        <x:color rgb="FF22C55E"/>
      </x:dataBar>
      <x:extLst>
        <x:ext xmlns:x14="http://schemas.microsoft.com/office/spreadsheetml/2009/9/main" uri="{B025F937-C7B1-47D3-B67F-A62EFF666E3E}">
          <x14:id>{74E2927C-6627-0FAE-AF65-119C6E25FBBA}</x14:id>
        </x:ext>
      </x:extLst>
    </x:cfRule>
  </x:conditionalFormatting>
  <x:conditionalFormatting sqref="O5:O1048576">
    <x:cfRule type="dataBar" priority="6">
      <x:dataBar>
        <x:cfvo type="num" val="0"/>
        <x:cfvo type="num" val="255"/>
        <x:color rgb="FFEC4899"/>
      </x:dataBar>
      <x:extLst>
        <x:ext xmlns:x14="http://schemas.microsoft.com/office/spreadsheetml/2009/9/main" uri="{B025F937-C7B1-47D3-B67F-A62EFF666E3E}">
          <x14:id>{612008D6-10FD-4C1F-0191-075758ACCFC6}</x14:id>
        </x:ext>
      </x:extLst>
    </x:cfRule>
  </x:conditionalFormatting>
  <x:dataValidations count="3">
    <x:dataValidation type="list" sqref="D5:E1011">
      <x:formula1>"Normal,Feu,Eau,Électrik,Plante,Glace,Combat,Poison,Sol,Vol,Psy,Insecte,Roche,Spectre,Dragon,Ténèbres,Acier,Fée"</x:formula1>
    </x:dataValidation>
    <x:dataValidation type="whole" operator="between" sqref="J5:O1011">
      <x:formula1>0</x:formula1>
      <x:formula2>255</x:formula2>
    </x:dataValidation>
    <x:dataValidation type="whole" operator="greaterThanOrEqual" sqref="G5:G1011">
      <x:formula1>0</x:formula1>
    </x:dataValidation>
  </x:dataValidations>
  <x:pageMargins left="0.7" right="0.7" top="0.75" bottom="0.75" header="0.3" footer="0.3"/>
  <x:tableParts count="1">
    <x:tablePart xmlns:r="http://schemas.openxmlformats.org/officeDocument/2006/relationships" r:id="R43936a1a8d0948a3"/>
  </x:tableParts>
  <x:extLst>
    <x:ext xmlns:x14="http://schemas.microsoft.com/office/spreadsheetml/2009/9/main" xmlns:xm="http://schemas.microsoft.com/office/excel/2006/main" uri="{78C0D931-6437-407d-A8EE-F0AAD7539E65}">
      <x14:conditionalFormattings>
        <x14:conditionalFormatting>
          <x14:cfRule type="dataBar" priority="1" id="{894270CC-7300-764F-6749-E00F51D7F023}">
            <x14:dataBar gradient="0">
              <x14:cfvo type="num">
                <xm:f>0</xm:f>
              </x14:cfvo>
              <x14:cfvo type="num">
                <xm:f>255</xm:f>
              </x14:cfvo>
              <x14:fillColor rgb="FFEF4444"/>
            </x14:dataBar>
          </x14:cfRule>
          <xm:sqref>J5:J1048576</xm:sqref>
        </x14:conditionalFormatting>
        <x14:conditionalFormatting>
          <x14:cfRule type="dataBar" priority="2" id="{CC588F92-C8C4-7C32-2C3F-DF739F464431}">
            <x14:dataBar gradient="0">
              <x14:cfvo type="num">
                <xm:f>0</xm:f>
              </x14:cfvo>
              <x14:cfvo type="num">
                <xm:f>255</xm:f>
              </x14:cfvo>
              <x14:fillColor rgb="FFF97316"/>
            </x14:dataBar>
          </x14:cfRule>
          <xm:sqref>K5:K1048576</xm:sqref>
        </x14:conditionalFormatting>
        <x14:conditionalFormatting>
          <x14:cfRule type="dataBar" priority="3" id="{741C45E6-D494-1F9A-DD5E-D52CDC773B87}">
            <x14:dataBar gradient="0">
              <x14:cfvo type="num">
                <xm:f>0</xm:f>
              </x14:cfvo>
              <x14:cfvo type="num">
                <xm:f>255</xm:f>
              </x14:cfvo>
              <x14:fillColor rgb="FFEAB308"/>
            </x14:dataBar>
          </x14:cfRule>
          <xm:sqref>L5:L1048576</xm:sqref>
        </x14:conditionalFormatting>
        <x14:conditionalFormatting>
          <x14:cfRule type="dataBar" priority="4" id="{2CFBFF68-44AE-CEA6-E1ED-A36BA82650D2}">
            <x14:dataBar gradient="0">
              <x14:cfvo type="num">
                <xm:f>0</xm:f>
              </x14:cfvo>
              <x14:cfvo type="num">
                <xm:f>255</xm:f>
              </x14:cfvo>
              <x14:fillColor rgb="FF3B82F6"/>
            </x14:dataBar>
          </x14:cfRule>
          <xm:sqref>M5:M1048576</xm:sqref>
        </x14:conditionalFormatting>
        <x14:conditionalFormatting>
          <x14:cfRule type="dataBar" priority="5" id="{74E2927C-6627-0FAE-AF65-119C6E25FBBA}">
            <x14:dataBar gradient="0">
              <x14:cfvo type="num">
                <xm:f>0</xm:f>
              </x14:cfvo>
              <x14:cfvo type="num">
                <xm:f>255</xm:f>
              </x14:cfvo>
              <x14:fillColor rgb="FF22C55E"/>
            </x14:dataBar>
          </x14:cfRule>
          <xm:sqref>N5:N1048576</xm:sqref>
        </x14:conditionalFormatting>
        <x14:conditionalFormatting>
          <x14:cfRule type="dataBar" priority="6" id="{612008D6-10FD-4C1F-0191-075758ACCFC6}">
            <x14:dataBar gradient="0">
              <x14:cfvo type="num">
                <xm:f>0</xm:f>
              </x14:cfvo>
              <x14:cfvo type="num">
                <xm:f>255</xm:f>
              </x14:cfvo>
              <x14:fillColor rgb="FFEC4899"/>
            </x14:dataBar>
          </x14:cfRule>
          <xm:sqref>O5:O1048576</xm:sqref>
        </x14:conditionalFormatting>
      </x14:conditionalFormattings>
    </x:ext>
  </x:extLst>
</x:worksheet>
</file>